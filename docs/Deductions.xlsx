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TAFF INFO                       FOLDERS\Sambridhi\"/>
    </mc:Choice>
  </mc:AlternateContent>
  <xr:revisionPtr revIDLastSave="0" documentId="13_ncr:1_{30AC88EE-348B-44CD-AEE5-017AEF0B56DC}" xr6:coauthVersionLast="36" xr6:coauthVersionMax="36" xr10:uidLastSave="{00000000-0000-0000-0000-000000000000}"/>
  <bookViews>
    <workbookView xWindow="0" yWindow="0" windowWidth="28800" windowHeight="12225" activeTab="1" xr2:uid="{25763107-5000-4A2A-A744-60E761E93A70}"/>
  </bookViews>
  <sheets>
    <sheet name="INSTRUCTIONS" sheetId="8" r:id="rId1"/>
    <sheet name="D1 Car Expenses" sheetId="1" r:id="rId2"/>
    <sheet name="D2 Travel" sheetId="2" r:id="rId3"/>
    <sheet name="D3. Uniform" sheetId="3" r:id="rId4"/>
    <sheet name="D4. Education" sheetId="5" r:id="rId5"/>
    <sheet name="D5. Other Expenses" sheetId="6" r:id="rId6"/>
    <sheet name="OTHERS " sheetId="9" r:id="rId7"/>
    <sheet name="Depreciation " sheetId="4" r:id="rId8"/>
    <sheet name="SUMMARY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7" l="1"/>
  <c r="B14" i="9"/>
  <c r="F4" i="4"/>
  <c r="D6" i="6"/>
  <c r="D65" i="6" s="1"/>
  <c r="F10" i="4" l="1"/>
  <c r="D60" i="6"/>
  <c r="D61" i="6"/>
  <c r="D62" i="6"/>
  <c r="D63" i="6"/>
  <c r="C15" i="2"/>
  <c r="C8" i="7" l="1"/>
  <c r="C5" i="7"/>
  <c r="C4" i="7"/>
  <c r="C3" i="7"/>
  <c r="D38" i="3"/>
  <c r="C15" i="5"/>
  <c r="D59" i="6"/>
  <c r="C59" i="6"/>
  <c r="D18" i="6"/>
  <c r="C6" i="7" l="1"/>
  <c r="C33" i="1"/>
  <c r="C34" i="1"/>
  <c r="C35" i="1"/>
  <c r="C38" i="1"/>
  <c r="C39" i="1"/>
  <c r="C40" i="1"/>
  <c r="C41" i="1"/>
  <c r="C42" i="1"/>
  <c r="C43" i="1"/>
  <c r="C44" i="1"/>
  <c r="C47" i="1"/>
  <c r="C48" i="1"/>
  <c r="C49" i="1"/>
  <c r="C24" i="1" l="1"/>
  <c r="C25" i="1"/>
  <c r="C26" i="1"/>
  <c r="C27" i="1"/>
  <c r="C28" i="1"/>
  <c r="C29" i="1"/>
  <c r="C30" i="1"/>
  <c r="C6" i="1"/>
  <c r="C18" i="1"/>
  <c r="C19" i="1"/>
  <c r="C20" i="1"/>
  <c r="C17" i="1"/>
  <c r="C12" i="1"/>
  <c r="C13" i="1"/>
  <c r="C14" i="1"/>
  <c r="C7" i="1"/>
  <c r="C8" i="1"/>
  <c r="C9" i="1"/>
  <c r="C51" i="1" l="1"/>
  <c r="C2" i="7" s="1"/>
  <c r="C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Garry Angus</author>
  </authors>
  <commentList>
    <comment ref="B6" authorId="0" shapeId="0" xr:uid="{4EAA663E-8B53-4236-87FD-C25F13931584}">
      <text>
        <r>
          <rPr>
            <sz val="9"/>
            <color indexed="81"/>
            <rFont val="Tahoma"/>
            <family val="2"/>
          </rPr>
          <t>Input the kms travelled.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Garry Angus</author>
  </authors>
  <commentList>
    <comment ref="B6" authorId="0" shapeId="0" xr:uid="{5DDE4E5E-BE93-4D3A-A65E-473154B45841}">
      <text>
        <r>
          <rPr>
            <b/>
            <sz val="9"/>
            <color indexed="81"/>
            <rFont val="Tahoma"/>
            <family val="2"/>
          </rPr>
          <t>[Choose % usage for work]</t>
        </r>
      </text>
    </comment>
    <comment ref="C6" authorId="0" shapeId="0" xr:uid="{F885E466-07EB-4B0D-8176-32D44C1DE774}">
      <text>
        <r>
          <rPr>
            <sz val="9"/>
            <color indexed="81"/>
            <rFont val="Tahoma"/>
            <family val="2"/>
          </rPr>
          <t>Input yearly cost</t>
        </r>
      </text>
    </comment>
    <comment ref="B18" authorId="0" shapeId="0" xr:uid="{61148067-8D95-4787-A993-F99AAD7D664C}">
      <text>
        <r>
          <rPr>
            <b/>
            <sz val="9"/>
            <color indexed="81"/>
            <rFont val="Tahoma"/>
            <family val="2"/>
          </rPr>
          <t>[Choose % usage for work]</t>
        </r>
      </text>
    </comment>
    <comment ref="C18" authorId="0" shapeId="0" xr:uid="{13DEDD30-78D0-4726-8BE0-01246700FF5E}">
      <text>
        <r>
          <rPr>
            <sz val="9"/>
            <color indexed="81"/>
            <rFont val="Tahoma"/>
            <family val="2"/>
          </rPr>
          <t>Input yearly cost</t>
        </r>
      </text>
    </comment>
    <comment ref="C59" authorId="0" shapeId="0" xr:uid="{77BC3038-8DAB-4B36-9379-5172E0CAEF1D}">
      <text>
        <r>
          <rPr>
            <b/>
            <sz val="9"/>
            <color indexed="81"/>
            <rFont val="Tahoma"/>
            <family val="2"/>
          </rPr>
          <t>Input yearly cost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Garry Angus</author>
  </authors>
  <commentList>
    <comment ref="B4" authorId="0" shapeId="0" xr:uid="{7820BDA4-AF40-4DB2-866B-03214328B016}">
      <text>
        <r>
          <rPr>
            <b/>
            <sz val="9"/>
            <color indexed="81"/>
            <rFont val="Tahoma"/>
            <family val="2"/>
          </rPr>
          <t xml:space="preserve">Enter the item description e.g. laptop, camera, etc. </t>
        </r>
      </text>
    </comment>
    <comment ref="C4" authorId="0" shapeId="0" xr:uid="{4BEC1E99-1BC6-45E6-8E70-D899E1E0D2F5}">
      <text>
        <r>
          <rPr>
            <b/>
            <sz val="9"/>
            <color indexed="81"/>
            <rFont val="Tahoma"/>
            <family val="2"/>
          </rPr>
          <t xml:space="preserve">Depreciation is done on a prorate basis if bought on the middle of financial year. If you purchased an asset on March of 2018, then you select 4 months as that is the time you have had the asset until the end of financial year. </t>
        </r>
      </text>
    </comment>
    <comment ref="D4" authorId="0" shapeId="0" xr:uid="{6AAF9F0E-33C0-4596-9E06-73D687567BA5}">
      <text>
        <r>
          <rPr>
            <b/>
            <sz val="9"/>
            <color indexed="81"/>
            <rFont val="Tahoma"/>
            <family val="2"/>
          </rPr>
          <t>Enter the pruchase price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7BCDA931-EA49-4395-81AF-F9B5C3114552}">
      <text>
        <r>
          <rPr>
            <b/>
            <sz val="9"/>
            <color indexed="81"/>
            <rFont val="Tahoma"/>
            <family val="2"/>
          </rPr>
          <t xml:space="preserve">Choose how much you use for work purposes.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<sst xmlns="http://schemas.openxmlformats.org/spreadsheetml/2006/main" count="200" uniqueCount="190">
  <si>
    <t>2018 Tax Deduction Checklist</t>
  </si>
  <si>
    <t>D1: Car expenses</t>
  </si>
  <si>
    <t>OSTT/SAP/Active Shooter</t>
  </si>
  <si>
    <t>Secondment Special Units</t>
  </si>
  <si>
    <t>Taking Charge/Confirmation Kms</t>
  </si>
  <si>
    <t>Carry Bullet Proof Vest Home</t>
  </si>
  <si>
    <t>1.1 Compulsory Travel</t>
  </si>
  <si>
    <t>Kms @ 0.66 cents</t>
  </si>
  <si>
    <t>Supreme Courts</t>
  </si>
  <si>
    <t>Magistrates Court</t>
  </si>
  <si>
    <t>Family/Other Courts</t>
  </si>
  <si>
    <t>1.2 Travel to Courts</t>
  </si>
  <si>
    <t>1.3 Car and Driver Compliance</t>
  </si>
  <si>
    <t>Safe Vehicle Inspection</t>
  </si>
  <si>
    <t>EBT Training</t>
  </si>
  <si>
    <t>Radar Speed Training</t>
  </si>
  <si>
    <t>4WD Training</t>
  </si>
  <si>
    <t>Driver Training</t>
  </si>
  <si>
    <t>1.4 Other Police Training</t>
  </si>
  <si>
    <t>Kms travelled</t>
  </si>
  <si>
    <t>Exams at Academy</t>
  </si>
  <si>
    <t>Taking Charge/Confirmation</t>
  </si>
  <si>
    <t>Management Meetins</t>
  </si>
  <si>
    <t>Operation Task Force Meetings</t>
  </si>
  <si>
    <t>FIC/DIC Training/Exams</t>
  </si>
  <si>
    <t>Detective Training School</t>
  </si>
  <si>
    <t>First Aid Courses</t>
  </si>
  <si>
    <t>1.5 Other Police Business</t>
  </si>
  <si>
    <t>Voluntary Duties - Public Events</t>
  </si>
  <si>
    <t>Travel to Non Usual Stations</t>
  </si>
  <si>
    <t>Travel to Equipment Stations</t>
  </si>
  <si>
    <t>1.6 New Police Recruits</t>
  </si>
  <si>
    <t>Traffic Management</t>
  </si>
  <si>
    <t>DTW</t>
  </si>
  <si>
    <t>Safe Street</t>
  </si>
  <si>
    <t>Highway Patrol</t>
  </si>
  <si>
    <t>Booze Bus</t>
  </si>
  <si>
    <t>Custody training</t>
  </si>
  <si>
    <t>12 Weeks Temp Placement</t>
  </si>
  <si>
    <t>1.7 New PSO Recruits</t>
  </si>
  <si>
    <t>PSO VPC</t>
  </si>
  <si>
    <t>PSO Mentoring</t>
  </si>
  <si>
    <t>VPC Training 3 months</t>
  </si>
  <si>
    <t>Total</t>
  </si>
  <si>
    <t>Freeway Tolls</t>
  </si>
  <si>
    <t>Carparking Costs</t>
  </si>
  <si>
    <t>Live in Accomodation Academy</t>
  </si>
  <si>
    <t>Other Accomodation and Meals</t>
  </si>
  <si>
    <t>Travel Costs (Local)</t>
  </si>
  <si>
    <t>Travel Costs (Interstate)</t>
  </si>
  <si>
    <t>Travel Costs (Overseas)</t>
  </si>
  <si>
    <t>Taxis</t>
  </si>
  <si>
    <t>Travel to alternative workplace</t>
  </si>
  <si>
    <t>Miscellaneous</t>
  </si>
  <si>
    <t>Home laundry and washing</t>
  </si>
  <si>
    <t>Hats/Gloves &amp; beanies</t>
  </si>
  <si>
    <t>Thermal Tops &amp; Bottoms</t>
  </si>
  <si>
    <t>Cargo Pants</t>
  </si>
  <si>
    <t>Boots &amp; Socks</t>
  </si>
  <si>
    <t xml:space="preserve">Plain Clothes Soilage </t>
  </si>
  <si>
    <t>Covert Oversized Clothing</t>
  </si>
  <si>
    <t>Alterations &amp; Repairs to clothing</t>
  </si>
  <si>
    <t>Drycleaning Uniforms</t>
  </si>
  <si>
    <t xml:space="preserve">Wooden Coat Hangers </t>
  </si>
  <si>
    <t>Deployment Clothing</t>
  </si>
  <si>
    <t>Special Ops Clothing</t>
  </si>
  <si>
    <t>Academy Wear</t>
  </si>
  <si>
    <t>Uniform Allowance Written off</t>
  </si>
  <si>
    <t>Corporate Wardrobe</t>
  </si>
  <si>
    <t>Non-slip shoes</t>
  </si>
  <si>
    <t>Protective Clothing</t>
  </si>
  <si>
    <t>Military White</t>
  </si>
  <si>
    <t>Blue or Khaki shirts with rank</t>
  </si>
  <si>
    <t>Standard Matching Trousers</t>
  </si>
  <si>
    <t>Regulation Jumpers and Jackets</t>
  </si>
  <si>
    <t>For purchases over $300</t>
  </si>
  <si>
    <t>Official mess uniform</t>
  </si>
  <si>
    <t>Hats or caps with rank or other</t>
  </si>
  <si>
    <t>Service dress shoes</t>
  </si>
  <si>
    <t>Service handbags and clutch bags</t>
  </si>
  <si>
    <t>Socks and Stockings</t>
  </si>
  <si>
    <t>camouflage shirts and trousers</t>
  </si>
  <si>
    <t>Shoe Polish</t>
  </si>
  <si>
    <t>D3: Uniform</t>
  </si>
  <si>
    <t>D2: Travel</t>
  </si>
  <si>
    <t>Amount</t>
  </si>
  <si>
    <t>Fire resistant clothing</t>
  </si>
  <si>
    <t>Steel capped boots</t>
  </si>
  <si>
    <t>Heavy Duty Shirts</t>
  </si>
  <si>
    <t>Medal Holders</t>
  </si>
  <si>
    <t>Compression Top &amp; Bottoms</t>
  </si>
  <si>
    <t>Neck Warmers</t>
  </si>
  <si>
    <t>D4. Education</t>
  </si>
  <si>
    <t>D4. Self Education</t>
  </si>
  <si>
    <t xml:space="preserve">TAFE Courses/Certificate </t>
  </si>
  <si>
    <t>Diploma Courses</t>
  </si>
  <si>
    <t>Degree Courses</t>
  </si>
  <si>
    <t>Public Speaking Courses</t>
  </si>
  <si>
    <t>Media Engagement Courses</t>
  </si>
  <si>
    <t>Forensic Education</t>
  </si>
  <si>
    <t>Ethnic Understanding Courses</t>
  </si>
  <si>
    <t>Prosecutors/Legal Training</t>
  </si>
  <si>
    <t>Airing/ Search &amp; Rescue Training</t>
  </si>
  <si>
    <t>Travel Kms for Education</t>
  </si>
  <si>
    <t>Books and reference material</t>
  </si>
  <si>
    <t>D5. Other expenses</t>
  </si>
  <si>
    <t>5.1 Association Fees</t>
  </si>
  <si>
    <t>5.2 Mobile and Communication</t>
  </si>
  <si>
    <t>Mobile Phone exp</t>
  </si>
  <si>
    <t>Yearly Cost</t>
  </si>
  <si>
    <t>Mobile Outright Purchase</t>
  </si>
  <si>
    <t>Mobile Covers and Holders</t>
  </si>
  <si>
    <t>5.3 Home Office</t>
  </si>
  <si>
    <t>Stationery</t>
  </si>
  <si>
    <t>Rubber Stamps</t>
  </si>
  <si>
    <t>Ink/Paper/ Printers uner $300</t>
  </si>
  <si>
    <t>Desk/Chairs under $300</t>
  </si>
  <si>
    <t>Filing cabinets/Drawers under $300</t>
  </si>
  <si>
    <t>5.4 Computers &amp; Technology</t>
  </si>
  <si>
    <t>Internet Connection/Plan Costs</t>
  </si>
  <si>
    <t>Wireless Keyboard/Mouse</t>
  </si>
  <si>
    <t>External Hard Drives/USBs</t>
  </si>
  <si>
    <t>iPads &amp; Covers</t>
  </si>
  <si>
    <t>Tablets</t>
  </si>
  <si>
    <t>Router/Modems</t>
  </si>
  <si>
    <t>SD Camera memory cards</t>
  </si>
  <si>
    <t>Computer cover/Bags</t>
  </si>
  <si>
    <t>Virus protection</t>
  </si>
  <si>
    <t>Software &lt; $300</t>
  </si>
  <si>
    <t>Voice/Tape recorders</t>
  </si>
  <si>
    <t>Other electronic devices &lt; $300</t>
  </si>
  <si>
    <t>5.5 Professional Equipment</t>
  </si>
  <si>
    <t>Torches &amp; Batteries</t>
  </si>
  <si>
    <t>Battery Changing Devices</t>
  </si>
  <si>
    <t>Multi-tools/Leathermans</t>
  </si>
  <si>
    <t>Vest &amp; Leg Pouches</t>
  </si>
  <si>
    <t>Key &amp; Equipment Holders</t>
  </si>
  <si>
    <t>Duty Bags/ Sports Bags</t>
  </si>
  <si>
    <t>Briefcases</t>
  </si>
  <si>
    <t>Tactical Watches &lt; $300</t>
  </si>
  <si>
    <t>Holsters</t>
  </si>
  <si>
    <t>Hand Grips</t>
  </si>
  <si>
    <t>Ulitily belts</t>
  </si>
  <si>
    <t>Gun Cleaning Materials</t>
  </si>
  <si>
    <t>Ear Pieces</t>
  </si>
  <si>
    <t>Insurance of Equipment</t>
  </si>
  <si>
    <t>Ammunition</t>
  </si>
  <si>
    <t>Handcuffs</t>
  </si>
  <si>
    <t>Taser Belt Clip</t>
  </si>
  <si>
    <t>Sunglasses/Safety Glasses</t>
  </si>
  <si>
    <t>Head Lamps</t>
  </si>
  <si>
    <t>Radio harness</t>
  </si>
  <si>
    <t>Camel Packs</t>
  </si>
  <si>
    <t>Camping/Sleeping Equip</t>
  </si>
  <si>
    <t>Knifes/Window Breakers</t>
  </si>
  <si>
    <t>MK9 Thigh Holster</t>
  </si>
  <si>
    <t>5.6 Others</t>
  </si>
  <si>
    <t>Police Journal</t>
  </si>
  <si>
    <t>Gym Membership @75%</t>
  </si>
  <si>
    <t>Sunscreen/Hand Sanitsers</t>
  </si>
  <si>
    <t>Court/Overtime Meals</t>
  </si>
  <si>
    <t>Other costs</t>
  </si>
  <si>
    <t>Overtime/Living Away Meals</t>
  </si>
  <si>
    <t>Cost</t>
  </si>
  <si>
    <t>Between 2 separate work places</t>
  </si>
  <si>
    <t>D1. Car Expenses</t>
  </si>
  <si>
    <t>D2. Travel</t>
  </si>
  <si>
    <t>D3. Uniform</t>
  </si>
  <si>
    <t>Total Deduction</t>
  </si>
  <si>
    <t>Purchase Price</t>
  </si>
  <si>
    <t>Business Use</t>
  </si>
  <si>
    <t>Depreciation amount</t>
  </si>
  <si>
    <t>No of months owned the asset</t>
  </si>
  <si>
    <t>S No.</t>
  </si>
  <si>
    <t>Depreciation</t>
  </si>
  <si>
    <t>Description</t>
  </si>
  <si>
    <t>Name</t>
  </si>
  <si>
    <t>Date of Birth</t>
  </si>
  <si>
    <t>Phone number</t>
  </si>
  <si>
    <t>Email Address</t>
  </si>
  <si>
    <t>HECS Debt (Y/N)</t>
  </si>
  <si>
    <t>Private Health Insurance (Y/N)</t>
  </si>
  <si>
    <t>Rental Property (Y/N)</t>
  </si>
  <si>
    <t>Tax File Number</t>
  </si>
  <si>
    <t>Client details</t>
  </si>
  <si>
    <t>Charity Name</t>
  </si>
  <si>
    <t>Donations / Tax Fees</t>
  </si>
  <si>
    <t xml:space="preserve">Last Year Tax Agent Fees </t>
  </si>
  <si>
    <t>Others</t>
  </si>
  <si>
    <t>Police 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</si>
</sst>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1" applyFont="1"/>
    <xf numFmtId="0" fontId="4" fillId="0" borderId="0" xfId="0" applyFont="1"/>
    <xf numFmtId="0" fontId="6" fillId="0" borderId="0" xfId="0" applyFont="1"/>
    <xf numFmtId="0" fontId="7" fillId="0" borderId="0" xfId="0" applyFont="1"/>
    <xf numFmtId="9" fontId="0" fillId="0" borderId="0" xfId="0" applyNumberFormat="1"/>
    <xf numFmtId="164" fontId="0" fillId="0" borderId="0" xfId="0" applyNumberFormat="1"/>
    <xf numFmtId="9" fontId="5" fillId="0" borderId="0" xfId="2" applyNumberFormat="1" applyFont="1"/>
    <xf numFmtId="9" fontId="5" fillId="0" borderId="0" xfId="2" applyFont="1"/>
    <xf numFmtId="164" fontId="0" fillId="0" borderId="1" xfId="0" applyNumberFormat="1" applyBorder="1"/>
    <xf numFmtId="164" fontId="6" fillId="0" borderId="0" xfId="0" applyNumberFormat="1" applyFont="1"/>
    <xf numFmtId="0" fontId="5" fillId="0" borderId="0" xfId="0" applyFont="1"/>
    <xf numFmtId="0" fontId="0" fillId="0" borderId="0" xfId="0" applyBorder="1"/>
    <xf numFmtId="164" fontId="0" fillId="0" borderId="0" xfId="0" applyNumberFormat="1" applyBorder="1"/>
    <xf numFmtId="0" fontId="0" fillId="0" borderId="1" xfId="0" applyFill="1" applyBorder="1"/>
    <xf numFmtId="0" fontId="0" fillId="0" borderId="0" xfId="0" applyProtection="1">
      <protection locked="0"/>
    </xf>
    <xf numFmtId="9" fontId="0" fillId="0" borderId="0" xfId="2" applyFont="1" applyProtection="1">
      <protection locked="0"/>
    </xf>
    <xf numFmtId="0" fontId="0" fillId="0" borderId="2" xfId="0" applyBorder="1" applyProtection="1">
      <protection locked="0"/>
    </xf>
    <xf numFmtId="164" fontId="0" fillId="0" borderId="2" xfId="1" applyFont="1" applyBorder="1" applyProtection="1">
      <protection locked="0"/>
    </xf>
    <xf numFmtId="164" fontId="0" fillId="0" borderId="3" xfId="1" applyFont="1" applyBorder="1" applyProtection="1"/>
    <xf numFmtId="164" fontId="0" fillId="0" borderId="4" xfId="1" applyFont="1" applyBorder="1" applyProtection="1">
      <protection locked="0"/>
    </xf>
    <xf numFmtId="164" fontId="0" fillId="0" borderId="5" xfId="1" applyFont="1" applyBorder="1" applyProtection="1">
      <protection locked="0"/>
    </xf>
    <xf numFmtId="0" fontId="0" fillId="0" borderId="0" xfId="0" applyBorder="1" applyProtection="1"/>
    <xf numFmtId="0" fontId="0" fillId="0" borderId="3" xfId="0" applyBorder="1"/>
    <xf numFmtId="164" fontId="0" fillId="0" borderId="3" xfId="0" applyNumberFormat="1" applyBorder="1"/>
    <xf numFmtId="164" fontId="0" fillId="0" borderId="3" xfId="1" applyFont="1" applyBorder="1"/>
    <xf numFmtId="164" fontId="0" fillId="0" borderId="2" xfId="1" applyFont="1" applyBorder="1"/>
    <xf numFmtId="164" fontId="0" fillId="0" borderId="7" xfId="1" applyFont="1" applyBorder="1" applyProtection="1">
      <protection locked="0"/>
    </xf>
    <xf numFmtId="164" fontId="0" fillId="0" borderId="6" xfId="1" applyFont="1" applyBorder="1" applyProtection="1"/>
    <xf numFmtId="164" fontId="0" fillId="0" borderId="6" xfId="1" applyFont="1" applyBorder="1"/>
    <xf numFmtId="0" fontId="0" fillId="0" borderId="7" xfId="0" applyBorder="1" applyProtection="1">
      <protection locked="0"/>
    </xf>
    <xf numFmtId="164" fontId="0" fillId="0" borderId="8" xfId="1" applyFont="1" applyBorder="1"/>
    <xf numFmtId="164" fontId="0" fillId="0" borderId="9" xfId="1" applyFont="1" applyBorder="1"/>
    <xf numFmtId="164" fontId="0" fillId="0" borderId="10" xfId="1" applyFont="1" applyBorder="1"/>
    <xf numFmtId="0" fontId="0" fillId="2" borderId="2" xfId="0" applyFill="1" applyBorder="1"/>
    <xf numFmtId="0" fontId="0" fillId="0" borderId="0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190499</xdr:rowOff>
    </xdr:from>
    <xdr:to>
      <xdr:col>6</xdr:col>
      <xdr:colOff>0</xdr:colOff>
      <xdr:row>13</xdr:row>
      <xdr:rowOff>104098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15C680-550B-4539-897B-085BD5251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499"/>
          <a:ext cx="6248400" cy="2390099"/>
        </a:xfrm>
        <a:prstGeom prst="rect">
          <a:avLst/>
        </a:prstGeom>
      </xdr:spPr>
    </xdr:pic>
    <xdr:clientData/>
  </xdr:twoCellAnchor>
  <xdr:twoCellAnchor>
    <xdr:from>
      <xdr:col>7</xdr:col>
      <xdr:colOff>85725</xdr:colOff>
      <xdr:row>1</xdr:row>
      <xdr:rowOff>0</xdr:rowOff>
    </xdr:from>
    <xdr:to>
      <xdr:col>15</xdr:col>
      <xdr:colOff>114300</xdr:colOff>
      <xdr:row>44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1AE483-5D10-49E1-B06B-E537ACB483E2}"/>
            </a:ext>
          </a:extLst>
        </xdr:cNvPr>
        <xdr:cNvSpPr txBox="1"/>
      </xdr:nvSpPr>
      <xdr:spPr>
        <a:xfrm>
          <a:off x="6867525" y="190500"/>
          <a:ext cx="6934200" cy="8382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DEDUCTION SPREADSHEET INSTRUCTIONS</a:t>
          </a:r>
        </a:p>
        <a:p>
          <a:endParaRPr lang="en-US" sz="1100"/>
        </a:p>
        <a:p>
          <a:r>
            <a:rPr lang="en-US" sz="1100"/>
            <a:t>Thank you for choosing Police Tax for your tax return needs. Below are the instructions that will guide you to complete this spreadsheet.</a:t>
          </a:r>
        </a:p>
        <a:p>
          <a:endParaRPr lang="en-US" sz="1100"/>
        </a:p>
        <a:p>
          <a:r>
            <a:rPr lang="en-US" sz="1100"/>
            <a:t>- Each sheet</a:t>
          </a:r>
          <a:r>
            <a:rPr lang="en-US" sz="1100" baseline="0"/>
            <a:t> has different sections of a tax return.</a:t>
          </a:r>
        </a:p>
        <a:p>
          <a:endParaRPr lang="en-US" sz="1100" baseline="0"/>
        </a:p>
        <a:p>
          <a:r>
            <a:rPr lang="en-US" sz="1100" baseline="0"/>
            <a:t>- Anything that is in a thin box  can be edited by the client. The boxes are where the amount of your expenses goes into. </a:t>
          </a:r>
        </a:p>
        <a:p>
          <a:endParaRPr lang="en-US" sz="1100" baseline="0"/>
        </a:p>
        <a:p>
          <a:r>
            <a:rPr lang="en-US" sz="1100" baseline="0"/>
            <a:t>- Where there is </a:t>
          </a:r>
          <a:r>
            <a:rPr lang="en-US" sz="1100" baseline="0">
              <a:solidFill>
                <a:srgbClr val="FF0000"/>
              </a:solidFill>
            </a:rPr>
            <a:t>red stickers </a:t>
          </a:r>
          <a:r>
            <a:rPr lang="en-US" sz="1100" baseline="0"/>
            <a:t>gives further instruction on what to input in that box when you hover your mouse over it. </a:t>
          </a:r>
        </a:p>
        <a:p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>
              <a:solidFill>
                <a:srgbClr val="FF0000"/>
              </a:solidFill>
            </a:rPr>
            <a:t>- Anything purchased above $300  like electronics has to be put into the depreciation sheet.</a:t>
          </a:r>
        </a:p>
        <a:p>
          <a:endParaRPr lang="en-US" sz="1100"/>
        </a:p>
        <a:p>
          <a:r>
            <a:rPr lang="en-US" sz="1100"/>
            <a:t>- There are boxes in each section, where you can add comments ir extra information that you believe are of importance. </a:t>
          </a:r>
        </a:p>
        <a:p>
          <a:endParaRPr lang="en-US" sz="1100"/>
        </a:p>
        <a:p>
          <a:r>
            <a:rPr lang="en-US" sz="1100"/>
            <a:t>- Summary of your</a:t>
          </a:r>
          <a:r>
            <a:rPr lang="en-US" sz="1100" baseline="0"/>
            <a:t> total deduction is at the last sheet.</a:t>
          </a:r>
        </a:p>
        <a:p>
          <a:endParaRPr lang="en-US" sz="1100" baseline="0"/>
        </a:p>
        <a:p>
          <a:r>
            <a:rPr lang="en-US" sz="1600"/>
            <a:t>- </a:t>
          </a:r>
          <a:r>
            <a:rPr lang="en-US" sz="1600" b="1"/>
            <a:t>IF EXCEL IS NOT AUTOMATICALLY</a:t>
          </a:r>
          <a:r>
            <a:rPr lang="en-US" sz="1600" b="1" baseline="0"/>
            <a:t> CALCULATING PLEASE GO TO FILE &gt; OPTIONS &gt; FORMULAS &gt; AUTOMATIC CALCULATION. </a:t>
          </a:r>
        </a:p>
        <a:p>
          <a:endParaRPr lang="en-US" sz="1600" baseline="0"/>
        </a:p>
        <a:p>
          <a:endParaRPr lang="en-US" sz="1600"/>
        </a:p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9</xdr:col>
      <xdr:colOff>171450</xdr:colOff>
      <xdr:row>7</xdr:row>
      <xdr:rowOff>133350</xdr:rowOff>
    </xdr:from>
    <xdr:to>
      <xdr:col>10</xdr:col>
      <xdr:colOff>66675</xdr:colOff>
      <xdr:row>8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33A5A38-C9CC-4EDB-A751-56BC059D0F5B}"/>
            </a:ext>
          </a:extLst>
        </xdr:cNvPr>
        <xdr:cNvSpPr/>
      </xdr:nvSpPr>
      <xdr:spPr>
        <a:xfrm>
          <a:off x="8858250" y="1466850"/>
          <a:ext cx="504825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347359</xdr:colOff>
      <xdr:row>20</xdr:row>
      <xdr:rowOff>114301</xdr:rowOff>
    </xdr:from>
    <xdr:to>
      <xdr:col>14</xdr:col>
      <xdr:colOff>991713</xdr:colOff>
      <xdr:row>43</xdr:row>
      <xdr:rowOff>171451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079073-2C09-485C-866B-80831A74A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4559" y="4067176"/>
          <a:ext cx="5578304" cy="443865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23</xdr:row>
      <xdr:rowOff>9525</xdr:rowOff>
    </xdr:from>
    <xdr:to>
      <xdr:col>3</xdr:col>
      <xdr:colOff>19050</xdr:colOff>
      <xdr:row>27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3F620F-3113-43B5-9C27-753DCCB1870B}"/>
            </a:ext>
          </a:extLst>
        </xdr:cNvPr>
        <xdr:cNvSpPr txBox="1"/>
      </xdr:nvSpPr>
      <xdr:spPr>
        <a:xfrm>
          <a:off x="628650" y="4533900"/>
          <a:ext cx="4419600" cy="7524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If there are any other queries,</a:t>
          </a:r>
          <a:r>
            <a:rPr lang="en-US" sz="1100" baseline="0"/>
            <a:t> please contact us at 1800 819 692 or e-mail us at customerservice@policetax.com.au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3</xdr:row>
      <xdr:rowOff>247650</xdr:rowOff>
    </xdr:from>
    <xdr:to>
      <xdr:col>11</xdr:col>
      <xdr:colOff>209551</xdr:colOff>
      <xdr:row>27</xdr:row>
      <xdr:rowOff>180975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1246896B-5752-4095-AC8F-2DD38076B0E4}"/>
            </a:ext>
          </a:extLst>
        </xdr:cNvPr>
        <xdr:cNvSpPr txBox="1"/>
      </xdr:nvSpPr>
      <xdr:spPr>
        <a:xfrm>
          <a:off x="6438901" y="1028700"/>
          <a:ext cx="4476750" cy="45815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Any extra information/comments</a:t>
          </a:r>
          <a:r>
            <a:rPr lang="en-US" sz="1100" baseline="0"/>
            <a:t> related to D1 car expenses, please type below: </a:t>
          </a:r>
          <a:endParaRPr lang="en-US" sz="1100"/>
        </a:p>
      </xdr:txBody>
    </xdr:sp>
    <xdr:clientData fLocksWithSheet="0"/>
  </xdr:twoCellAnchor>
  <xdr:twoCellAnchor>
    <xdr:from>
      <xdr:col>4</xdr:col>
      <xdr:colOff>0</xdr:colOff>
      <xdr:row>28</xdr:row>
      <xdr:rowOff>19049</xdr:rowOff>
    </xdr:from>
    <xdr:to>
      <xdr:col>11</xdr:col>
      <xdr:colOff>219075</xdr:colOff>
      <xdr:row>37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8C447D-5A50-4F3A-9657-2E7DC3192AE1}"/>
            </a:ext>
          </a:extLst>
        </xdr:cNvPr>
        <xdr:cNvSpPr txBox="1"/>
      </xdr:nvSpPr>
      <xdr:spPr>
        <a:xfrm>
          <a:off x="6438900" y="5705474"/>
          <a:ext cx="4486275" cy="1828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Please be advised anything above</a:t>
          </a:r>
          <a:r>
            <a:rPr lang="en-US" sz="1600" baseline="0"/>
            <a:t> 5000 kms cannot be claimed without a log book. You can only claim kms from home to training or work to work, </a:t>
          </a:r>
          <a:r>
            <a:rPr lang="en-US" sz="1600" b="1" baseline="0">
              <a:solidFill>
                <a:srgbClr val="FF0000"/>
              </a:solidFill>
            </a:rPr>
            <a:t>you cannot claim home to work and vice versa. </a:t>
          </a:r>
          <a:endParaRPr lang="en-US" sz="16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209550</xdr:colOff>
      <xdr:row>25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B939CC-8BD4-4DC8-B649-D955CA1B839F}"/>
            </a:ext>
          </a:extLst>
        </xdr:cNvPr>
        <xdr:cNvSpPr txBox="1"/>
      </xdr:nvSpPr>
      <xdr:spPr>
        <a:xfrm>
          <a:off x="3781425" y="457200"/>
          <a:ext cx="4476750" cy="45815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Any extra information/comments</a:t>
          </a:r>
          <a:r>
            <a:rPr lang="en-US" sz="1100" baseline="0"/>
            <a:t> related to D2 travel, please type below: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209550</xdr:colOff>
      <xdr:row>26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347138-B5DF-4431-8919-A510B6A6DB1A}"/>
            </a:ext>
          </a:extLst>
        </xdr:cNvPr>
        <xdr:cNvSpPr txBox="1"/>
      </xdr:nvSpPr>
      <xdr:spPr>
        <a:xfrm>
          <a:off x="4124325" y="457200"/>
          <a:ext cx="4476750" cy="45815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Any extra information/comments</a:t>
          </a:r>
          <a:r>
            <a:rPr lang="en-US" sz="1100" baseline="0"/>
            <a:t> related to D3 Uniforms, please type below: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209550</xdr:colOff>
      <xdr:row>25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0AB7DA-A27F-4AA6-A0C2-C4D78FC6E35C}"/>
            </a:ext>
          </a:extLst>
        </xdr:cNvPr>
        <xdr:cNvSpPr txBox="1"/>
      </xdr:nvSpPr>
      <xdr:spPr>
        <a:xfrm>
          <a:off x="3857625" y="523875"/>
          <a:ext cx="4476750" cy="45815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Any extra information/comments</a:t>
          </a:r>
          <a:r>
            <a:rPr lang="en-US" sz="1100" baseline="0"/>
            <a:t> related to D4 Self Education, please type below: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209550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70992B-EB12-4CD7-AE2F-2BC9959BE676}"/>
            </a:ext>
          </a:extLst>
        </xdr:cNvPr>
        <xdr:cNvSpPr txBox="1"/>
      </xdr:nvSpPr>
      <xdr:spPr>
        <a:xfrm>
          <a:off x="5505450" y="266700"/>
          <a:ext cx="4476750" cy="45815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Any extra information/comments</a:t>
          </a:r>
          <a:r>
            <a:rPr lang="en-US" sz="1100" baseline="0"/>
            <a:t> related to D5 Other expenses, please type below: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</xdr:row>
      <xdr:rowOff>123825</xdr:rowOff>
    </xdr:from>
    <xdr:to>
      <xdr:col>9</xdr:col>
      <xdr:colOff>342900</xdr:colOff>
      <xdr:row>12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9DBF6C-42AD-4DFF-B852-3BDF159235E5}"/>
            </a:ext>
          </a:extLst>
        </xdr:cNvPr>
        <xdr:cNvSpPr txBox="1"/>
      </xdr:nvSpPr>
      <xdr:spPr>
        <a:xfrm>
          <a:off x="4038600" y="581025"/>
          <a:ext cx="3695700" cy="1914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Please be advised that donations need to be </a:t>
          </a:r>
          <a:r>
            <a:rPr lang="en-US" sz="1600">
              <a:solidFill>
                <a:srgbClr val="FF0000"/>
              </a:solidFill>
            </a:rPr>
            <a:t>tax deductible</a:t>
          </a:r>
          <a:r>
            <a:rPr lang="en-US" sz="1600" baseline="0">
              <a:solidFill>
                <a:srgbClr val="FF0000"/>
              </a:solidFill>
            </a:rPr>
            <a:t> </a:t>
          </a:r>
          <a:r>
            <a:rPr lang="en-US" sz="1600" baseline="0"/>
            <a:t>i.e. the charity needs to be </a:t>
          </a:r>
          <a:r>
            <a:rPr lang="en-US" sz="1600" baseline="0">
              <a:solidFill>
                <a:srgbClr val="FF0000"/>
              </a:solidFill>
            </a:rPr>
            <a:t>registered</a:t>
          </a:r>
          <a:r>
            <a:rPr lang="en-US" sz="1600" baseline="0"/>
            <a:t>. </a:t>
          </a:r>
          <a:endParaRPr lang="en-US" sz="16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209550</xdr:colOff>
      <xdr:row>25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690224-D107-4CB0-9733-CCA81510F20A}"/>
            </a:ext>
          </a:extLst>
        </xdr:cNvPr>
        <xdr:cNvSpPr txBox="1"/>
      </xdr:nvSpPr>
      <xdr:spPr>
        <a:xfrm>
          <a:off x="8629650" y="485775"/>
          <a:ext cx="4476750" cy="45815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Any extra information/comments</a:t>
          </a:r>
          <a:r>
            <a:rPr lang="en-US" sz="1100" baseline="0"/>
            <a:t> related to depreciation, please type below: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D843-B039-458B-B0CA-FC3862FB0894}">
  <dimension ref="B15:E23"/>
  <sheetViews>
    <sheetView workbookViewId="0">
      <selection activeCell="B21" sqref="B21"/>
    </sheetView>
  </sheetViews>
  <sheetFormatPr defaultRowHeight="15" x14ac:dyDescent="0.25"/>
  <cols>
    <col min="2" max="2" width="28.28515625" bestFit="1" customWidth="1"/>
    <col min="3" max="3" width="38" customWidth="1"/>
    <col min="14" max="14" width="28.28515625" bestFit="1" customWidth="1"/>
    <col min="15" max="15" width="20.42578125" customWidth="1"/>
  </cols>
  <sheetData>
    <row r="15" spans="2:5" x14ac:dyDescent="0.25">
      <c r="B15" s="36" t="s">
        <v>184</v>
      </c>
      <c r="C15" s="36"/>
    </row>
    <row r="16" spans="2:5" ht="26.25" x14ac:dyDescent="0.4">
      <c r="B16" s="19" t="s">
        <v>176</v>
      </c>
      <c r="C16" s="19"/>
      <c r="D16" s="6"/>
      <c r="E16" s="6"/>
    </row>
    <row r="17" spans="2:3" x14ac:dyDescent="0.25">
      <c r="B17" s="19" t="s">
        <v>183</v>
      </c>
      <c r="C17" s="19"/>
    </row>
    <row r="18" spans="2:3" x14ac:dyDescent="0.25">
      <c r="B18" s="19" t="s">
        <v>177</v>
      </c>
      <c r="C18" s="19"/>
    </row>
    <row r="19" spans="2:3" x14ac:dyDescent="0.25">
      <c r="B19" s="19" t="s">
        <v>178</v>
      </c>
      <c r="C19" s="19"/>
    </row>
    <row r="20" spans="2:3" x14ac:dyDescent="0.25">
      <c r="B20" s="19" t="s">
        <v>179</v>
      </c>
      <c r="C20" s="19"/>
    </row>
    <row r="21" spans="2:3" x14ac:dyDescent="0.25">
      <c r="B21" s="19" t="s">
        <v>180</v>
      </c>
      <c r="C21" s="19"/>
    </row>
    <row r="22" spans="2:3" x14ac:dyDescent="0.25">
      <c r="B22" s="19" t="s">
        <v>181</v>
      </c>
      <c r="C22" s="19"/>
    </row>
    <row r="23" spans="2:3" x14ac:dyDescent="0.25">
      <c r="B23" s="19" t="s">
        <v>182</v>
      </c>
      <c r="C23" s="19"/>
    </row>
  </sheetData>
  <sheetProtection algorithmName="SHA-512" hashValue="sU1DiO2PDTawdmLJVOaJ4cXTbGB30mSbp+BLws1foqoSy27yHg+ZT9/ENJsR5mcIOlxivuevPti7lsuw38gsNw==" saltValue="twj3Z/OaOzLewJfvDT9Vfw==" spinCount="100000" sheet="1" objects="1" scenarios="1"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A801-B14C-4965-9EE0-DFB2D86C03DE}">
  <dimension ref="A1:C52"/>
  <sheetViews>
    <sheetView tabSelected="1" workbookViewId="0">
      <selection activeCell="B32" sqref="B32"/>
    </sheetView>
  </sheetViews>
  <sheetFormatPr defaultRowHeight="15" x14ac:dyDescent="0.25"/>
  <cols>
    <col min="1" max="1" width="57.85546875" bestFit="1" customWidth="1"/>
    <col min="2" max="2" width="13.28515625" bestFit="1" customWidth="1"/>
    <col min="3" max="3" width="16.28515625" bestFit="1" customWidth="1"/>
    <col min="18" max="18" width="30.7109375" bestFit="1" customWidth="1"/>
  </cols>
  <sheetData>
    <row r="1" spans="1:3" ht="31.5" x14ac:dyDescent="0.5">
      <c r="A1" s="2" t="s">
        <v>0</v>
      </c>
      <c r="B1" s="2"/>
    </row>
    <row r="4" spans="1:3" ht="21" x14ac:dyDescent="0.35">
      <c r="A4" s="1" t="s">
        <v>1</v>
      </c>
      <c r="B4" t="s">
        <v>19</v>
      </c>
      <c r="C4" t="s">
        <v>7</v>
      </c>
    </row>
    <row r="5" spans="1:3" ht="15.75" thickBot="1" x14ac:dyDescent="0.3">
      <c r="A5" t="s">
        <v>6</v>
      </c>
    </row>
    <row r="6" spans="1:3" x14ac:dyDescent="0.25">
      <c r="A6" s="4" t="s">
        <v>2</v>
      </c>
      <c r="B6" s="32"/>
      <c r="C6" s="33">
        <f>B6*0.66</f>
        <v>0</v>
      </c>
    </row>
    <row r="7" spans="1:3" x14ac:dyDescent="0.25">
      <c r="A7" s="4" t="s">
        <v>3</v>
      </c>
      <c r="B7" s="32"/>
      <c r="C7" s="34">
        <f t="shared" ref="C7:C14" si="0">B7*0.66</f>
        <v>0</v>
      </c>
    </row>
    <row r="8" spans="1:3" x14ac:dyDescent="0.25">
      <c r="A8" s="4" t="s">
        <v>4</v>
      </c>
      <c r="B8" s="32"/>
      <c r="C8" s="34">
        <f t="shared" si="0"/>
        <v>0</v>
      </c>
    </row>
    <row r="9" spans="1:3" ht="15.75" thickBot="1" x14ac:dyDescent="0.3">
      <c r="A9" s="4" t="s">
        <v>5</v>
      </c>
      <c r="B9" s="32"/>
      <c r="C9" s="35">
        <f t="shared" si="0"/>
        <v>0</v>
      </c>
    </row>
    <row r="10" spans="1:3" x14ac:dyDescent="0.25">
      <c r="B10" s="17"/>
      <c r="C10" s="3"/>
    </row>
    <row r="11" spans="1:3" ht="15.75" thickBot="1" x14ac:dyDescent="0.3">
      <c r="A11" t="s">
        <v>11</v>
      </c>
      <c r="B11" s="17"/>
      <c r="C11" s="3"/>
    </row>
    <row r="12" spans="1:3" x14ac:dyDescent="0.25">
      <c r="A12" t="s">
        <v>8</v>
      </c>
      <c r="B12" s="32"/>
      <c r="C12" s="33">
        <f t="shared" si="0"/>
        <v>0</v>
      </c>
    </row>
    <row r="13" spans="1:3" x14ac:dyDescent="0.25">
      <c r="A13" t="s">
        <v>9</v>
      </c>
      <c r="B13" s="32"/>
      <c r="C13" s="34">
        <f t="shared" si="0"/>
        <v>0</v>
      </c>
    </row>
    <row r="14" spans="1:3" ht="15.75" thickBot="1" x14ac:dyDescent="0.3">
      <c r="A14" t="s">
        <v>10</v>
      </c>
      <c r="B14" s="32"/>
      <c r="C14" s="35">
        <f t="shared" si="0"/>
        <v>0</v>
      </c>
    </row>
    <row r="15" spans="1:3" x14ac:dyDescent="0.25">
      <c r="B15" s="17"/>
      <c r="C15" s="3"/>
    </row>
    <row r="16" spans="1:3" ht="15.75" thickBot="1" x14ac:dyDescent="0.3">
      <c r="A16" t="s">
        <v>12</v>
      </c>
      <c r="B16" s="17"/>
      <c r="C16" s="3"/>
    </row>
    <row r="17" spans="1:3" x14ac:dyDescent="0.25">
      <c r="A17" t="s">
        <v>13</v>
      </c>
      <c r="B17" s="32"/>
      <c r="C17" s="33">
        <f t="shared" ref="C17:C49" si="1">B17*0.66</f>
        <v>0</v>
      </c>
    </row>
    <row r="18" spans="1:3" x14ac:dyDescent="0.25">
      <c r="A18" t="s">
        <v>14</v>
      </c>
      <c r="B18" s="32"/>
      <c r="C18" s="34">
        <f t="shared" si="1"/>
        <v>0</v>
      </c>
    </row>
    <row r="19" spans="1:3" x14ac:dyDescent="0.25">
      <c r="A19" t="s">
        <v>15</v>
      </c>
      <c r="B19" s="32"/>
      <c r="C19" s="34">
        <f t="shared" si="1"/>
        <v>0</v>
      </c>
    </row>
    <row r="20" spans="1:3" ht="15.75" thickBot="1" x14ac:dyDescent="0.3">
      <c r="A20" t="s">
        <v>16</v>
      </c>
      <c r="B20" s="32"/>
      <c r="C20" s="35">
        <f t="shared" si="1"/>
        <v>0</v>
      </c>
    </row>
    <row r="21" spans="1:3" x14ac:dyDescent="0.25">
      <c r="A21" t="s">
        <v>17</v>
      </c>
      <c r="B21" s="17"/>
      <c r="C21" s="3"/>
    </row>
    <row r="22" spans="1:3" x14ac:dyDescent="0.25">
      <c r="B22" s="17"/>
      <c r="C22" s="3"/>
    </row>
    <row r="23" spans="1:3" ht="15.75" thickBot="1" x14ac:dyDescent="0.3">
      <c r="A23" t="s">
        <v>18</v>
      </c>
      <c r="B23" s="17"/>
      <c r="C23" s="3"/>
    </row>
    <row r="24" spans="1:3" x14ac:dyDescent="0.25">
      <c r="A24" t="s">
        <v>20</v>
      </c>
      <c r="B24" s="32"/>
      <c r="C24" s="33">
        <f t="shared" si="1"/>
        <v>0</v>
      </c>
    </row>
    <row r="25" spans="1:3" x14ac:dyDescent="0.25">
      <c r="A25" t="s">
        <v>21</v>
      </c>
      <c r="B25" s="32"/>
      <c r="C25" s="34">
        <f t="shared" si="1"/>
        <v>0</v>
      </c>
    </row>
    <row r="26" spans="1:3" x14ac:dyDescent="0.25">
      <c r="A26" t="s">
        <v>22</v>
      </c>
      <c r="B26" s="32"/>
      <c r="C26" s="34">
        <f t="shared" si="1"/>
        <v>0</v>
      </c>
    </row>
    <row r="27" spans="1:3" x14ac:dyDescent="0.25">
      <c r="A27" t="s">
        <v>23</v>
      </c>
      <c r="B27" s="32"/>
      <c r="C27" s="34">
        <f t="shared" si="1"/>
        <v>0</v>
      </c>
    </row>
    <row r="28" spans="1:3" x14ac:dyDescent="0.25">
      <c r="A28" t="s">
        <v>24</v>
      </c>
      <c r="B28" s="32"/>
      <c r="C28" s="34">
        <f t="shared" si="1"/>
        <v>0</v>
      </c>
    </row>
    <row r="29" spans="1:3" x14ac:dyDescent="0.25">
      <c r="A29" t="s">
        <v>25</v>
      </c>
      <c r="B29" s="32"/>
      <c r="C29" s="34">
        <f t="shared" si="1"/>
        <v>0</v>
      </c>
    </row>
    <row r="30" spans="1:3" ht="15.75" thickBot="1" x14ac:dyDescent="0.3">
      <c r="A30" t="s">
        <v>26</v>
      </c>
      <c r="B30" s="32"/>
      <c r="C30" s="35">
        <f t="shared" si="1"/>
        <v>0</v>
      </c>
    </row>
    <row r="31" spans="1:3" x14ac:dyDescent="0.25">
      <c r="B31" s="17"/>
      <c r="C31" s="3"/>
    </row>
    <row r="32" spans="1:3" ht="15.75" thickBot="1" x14ac:dyDescent="0.3">
      <c r="A32" t="s">
        <v>27</v>
      </c>
      <c r="B32" s="17"/>
      <c r="C32" s="3"/>
    </row>
    <row r="33" spans="1:3" x14ac:dyDescent="0.25">
      <c r="A33" t="s">
        <v>28</v>
      </c>
      <c r="B33" s="32"/>
      <c r="C33" s="33">
        <f t="shared" si="1"/>
        <v>0</v>
      </c>
    </row>
    <row r="34" spans="1:3" x14ac:dyDescent="0.25">
      <c r="A34" t="s">
        <v>29</v>
      </c>
      <c r="B34" s="32"/>
      <c r="C34" s="34">
        <f t="shared" si="1"/>
        <v>0</v>
      </c>
    </row>
    <row r="35" spans="1:3" ht="15.75" thickBot="1" x14ac:dyDescent="0.3">
      <c r="A35" t="s">
        <v>30</v>
      </c>
      <c r="B35" s="32"/>
      <c r="C35" s="35">
        <f t="shared" si="1"/>
        <v>0</v>
      </c>
    </row>
    <row r="36" spans="1:3" x14ac:dyDescent="0.25">
      <c r="B36" s="17"/>
      <c r="C36" s="3"/>
    </row>
    <row r="37" spans="1:3" ht="15.75" thickBot="1" x14ac:dyDescent="0.3">
      <c r="A37" t="s">
        <v>31</v>
      </c>
      <c r="B37" s="17"/>
      <c r="C37" s="3"/>
    </row>
    <row r="38" spans="1:3" x14ac:dyDescent="0.25">
      <c r="A38" t="s">
        <v>32</v>
      </c>
      <c r="B38" s="32"/>
      <c r="C38" s="33">
        <f t="shared" si="1"/>
        <v>0</v>
      </c>
    </row>
    <row r="39" spans="1:3" x14ac:dyDescent="0.25">
      <c r="A39" t="s">
        <v>33</v>
      </c>
      <c r="B39" s="32"/>
      <c r="C39" s="34">
        <f t="shared" si="1"/>
        <v>0</v>
      </c>
    </row>
    <row r="40" spans="1:3" x14ac:dyDescent="0.25">
      <c r="A40" t="s">
        <v>34</v>
      </c>
      <c r="B40" s="32"/>
      <c r="C40" s="34">
        <f t="shared" si="1"/>
        <v>0</v>
      </c>
    </row>
    <row r="41" spans="1:3" x14ac:dyDescent="0.25">
      <c r="A41" t="s">
        <v>35</v>
      </c>
      <c r="B41" s="32"/>
      <c r="C41" s="34">
        <f t="shared" si="1"/>
        <v>0</v>
      </c>
    </row>
    <row r="42" spans="1:3" x14ac:dyDescent="0.25">
      <c r="A42" t="s">
        <v>36</v>
      </c>
      <c r="B42" s="32"/>
      <c r="C42" s="34">
        <f t="shared" si="1"/>
        <v>0</v>
      </c>
    </row>
    <row r="43" spans="1:3" x14ac:dyDescent="0.25">
      <c r="A43" t="s">
        <v>37</v>
      </c>
      <c r="B43" s="32"/>
      <c r="C43" s="34">
        <f t="shared" si="1"/>
        <v>0</v>
      </c>
    </row>
    <row r="44" spans="1:3" ht="15.75" thickBot="1" x14ac:dyDescent="0.3">
      <c r="A44" t="s">
        <v>38</v>
      </c>
      <c r="B44" s="32"/>
      <c r="C44" s="35">
        <f t="shared" si="1"/>
        <v>0</v>
      </c>
    </row>
    <row r="45" spans="1:3" x14ac:dyDescent="0.25">
      <c r="B45" s="17"/>
      <c r="C45" s="3"/>
    </row>
    <row r="46" spans="1:3" ht="15.75" thickBot="1" x14ac:dyDescent="0.3">
      <c r="A46" t="s">
        <v>39</v>
      </c>
      <c r="B46" s="17"/>
      <c r="C46" s="3"/>
    </row>
    <row r="47" spans="1:3" x14ac:dyDescent="0.25">
      <c r="A47" t="s">
        <v>40</v>
      </c>
      <c r="B47" s="32"/>
      <c r="C47" s="33">
        <f t="shared" si="1"/>
        <v>0</v>
      </c>
    </row>
    <row r="48" spans="1:3" x14ac:dyDescent="0.25">
      <c r="A48" t="s">
        <v>41</v>
      </c>
      <c r="B48" s="32"/>
      <c r="C48" s="34">
        <f t="shared" si="1"/>
        <v>0</v>
      </c>
    </row>
    <row r="49" spans="1:3" ht="15.75" thickBot="1" x14ac:dyDescent="0.3">
      <c r="A49" t="s">
        <v>42</v>
      </c>
      <c r="B49" s="32"/>
      <c r="C49" s="35">
        <f t="shared" si="1"/>
        <v>0</v>
      </c>
    </row>
    <row r="50" spans="1:3" x14ac:dyDescent="0.25">
      <c r="C50" s="3"/>
    </row>
    <row r="51" spans="1:3" ht="15.75" thickBot="1" x14ac:dyDescent="0.3">
      <c r="A51" t="s">
        <v>43</v>
      </c>
      <c r="C51" s="27">
        <f>SUM(C6:C49)</f>
        <v>0</v>
      </c>
    </row>
    <row r="52" spans="1:3" ht="15.75" thickTop="1" x14ac:dyDescent="0.25"/>
  </sheetData>
  <sheetProtection algorithmName="SHA-512" hashValue="AoCFXezuVFelA8oI9kPP+pYPynoqeM4HogPIL5gGC2GW4hVPAeOZtOnhd2H+KYzFpuDJRW6KVa/ZYqt5PX+fLA==" saltValue="YXCYmht5hi8k507i757kVw==" spinCount="100000" sheet="1" objects="1" scenarios="1" selectLockedCells="1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994F-7A48-4301-8D81-2664D88C3F3D}">
  <dimension ref="A1:C16"/>
  <sheetViews>
    <sheetView workbookViewId="0">
      <selection activeCell="C11" sqref="C11"/>
    </sheetView>
  </sheetViews>
  <sheetFormatPr defaultRowHeight="15" x14ac:dyDescent="0.25"/>
  <cols>
    <col min="1" max="1" width="29.28515625" bestFit="1" customWidth="1"/>
  </cols>
  <sheetData>
    <row r="1" spans="1:3" ht="21" x14ac:dyDescent="0.35">
      <c r="A1" s="1" t="s">
        <v>84</v>
      </c>
    </row>
    <row r="2" spans="1:3" x14ac:dyDescent="0.25">
      <c r="C2" t="s">
        <v>85</v>
      </c>
    </row>
    <row r="3" spans="1:3" x14ac:dyDescent="0.25">
      <c r="A3" t="s">
        <v>44</v>
      </c>
      <c r="C3" s="20">
        <v>0</v>
      </c>
    </row>
    <row r="4" spans="1:3" x14ac:dyDescent="0.25">
      <c r="A4" t="s">
        <v>45</v>
      </c>
      <c r="C4" s="20">
        <v>0</v>
      </c>
    </row>
    <row r="5" spans="1:3" x14ac:dyDescent="0.25">
      <c r="A5" t="s">
        <v>46</v>
      </c>
      <c r="C5" s="20">
        <v>0</v>
      </c>
    </row>
    <row r="6" spans="1:3" x14ac:dyDescent="0.25">
      <c r="A6" t="s">
        <v>47</v>
      </c>
      <c r="C6" s="20">
        <v>0</v>
      </c>
    </row>
    <row r="7" spans="1:3" x14ac:dyDescent="0.25">
      <c r="A7" t="s">
        <v>48</v>
      </c>
      <c r="C7" s="20">
        <v>0</v>
      </c>
    </row>
    <row r="8" spans="1:3" x14ac:dyDescent="0.25">
      <c r="A8" t="s">
        <v>49</v>
      </c>
      <c r="C8" s="20">
        <v>0</v>
      </c>
    </row>
    <row r="9" spans="1:3" x14ac:dyDescent="0.25">
      <c r="A9" t="s">
        <v>50</v>
      </c>
      <c r="C9" s="20">
        <v>0</v>
      </c>
    </row>
    <row r="10" spans="1:3" x14ac:dyDescent="0.25">
      <c r="A10" t="s">
        <v>51</v>
      </c>
      <c r="C10" s="20">
        <v>0</v>
      </c>
    </row>
    <row r="11" spans="1:3" x14ac:dyDescent="0.25">
      <c r="A11" t="s">
        <v>52</v>
      </c>
      <c r="C11" s="20">
        <v>0</v>
      </c>
    </row>
    <row r="12" spans="1:3" x14ac:dyDescent="0.25">
      <c r="A12" t="s">
        <v>164</v>
      </c>
      <c r="C12" s="20">
        <v>0</v>
      </c>
    </row>
    <row r="13" spans="1:3" x14ac:dyDescent="0.25">
      <c r="A13" t="s">
        <v>53</v>
      </c>
      <c r="C13" s="20">
        <v>0</v>
      </c>
    </row>
    <row r="15" spans="1:3" ht="15.75" thickBot="1" x14ac:dyDescent="0.3">
      <c r="A15" t="s">
        <v>43</v>
      </c>
      <c r="C15" s="21">
        <f>SUM(C3:C13)</f>
        <v>0</v>
      </c>
    </row>
    <row r="16" spans="1:3" ht="15.75" thickTop="1" x14ac:dyDescent="0.25"/>
  </sheetData>
  <sheetProtection algorithmName="SHA-512" hashValue="fxSrxw5vafFN6iEsgD2uhO9mtZIJLhjn8Jtpv/6JGPHZicAFwOAuKGxwZxNwCpkOUM0coMvdHWncHbiAgFToYQ==" saltValue="pixP7B3JRl8ymqPPBQomhQ==" spinCount="100000" sheet="1" scenarios="1" selectLockedCell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FF7D-2F52-414C-87CC-C982C25088BF}">
  <dimension ref="A1:D39"/>
  <sheetViews>
    <sheetView workbookViewId="0">
      <selection activeCell="D4" sqref="D4"/>
    </sheetView>
  </sheetViews>
  <sheetFormatPr defaultRowHeight="15" x14ac:dyDescent="0.25"/>
  <cols>
    <col min="1" max="1" width="25.28515625" bestFit="1" customWidth="1"/>
  </cols>
  <sheetData>
    <row r="1" spans="1:4" ht="21" x14ac:dyDescent="0.35">
      <c r="A1" s="1" t="s">
        <v>83</v>
      </c>
    </row>
    <row r="2" spans="1:4" x14ac:dyDescent="0.25">
      <c r="D2" t="s">
        <v>163</v>
      </c>
    </row>
    <row r="3" spans="1:4" x14ac:dyDescent="0.25">
      <c r="A3" t="s">
        <v>66</v>
      </c>
      <c r="D3" s="20">
        <v>0</v>
      </c>
    </row>
    <row r="4" spans="1:4" x14ac:dyDescent="0.25">
      <c r="A4" t="s">
        <v>61</v>
      </c>
      <c r="D4" s="20">
        <v>0</v>
      </c>
    </row>
    <row r="5" spans="1:4" x14ac:dyDescent="0.25">
      <c r="A5" t="s">
        <v>72</v>
      </c>
      <c r="D5" s="20">
        <v>0</v>
      </c>
    </row>
    <row r="6" spans="1:4" x14ac:dyDescent="0.25">
      <c r="A6" t="s">
        <v>58</v>
      </c>
      <c r="D6" s="20">
        <v>0</v>
      </c>
    </row>
    <row r="7" spans="1:4" x14ac:dyDescent="0.25">
      <c r="A7" t="s">
        <v>81</v>
      </c>
      <c r="D7" s="20">
        <v>0</v>
      </c>
    </row>
    <row r="8" spans="1:4" x14ac:dyDescent="0.25">
      <c r="A8" t="s">
        <v>57</v>
      </c>
      <c r="D8" s="20">
        <v>0</v>
      </c>
    </row>
    <row r="9" spans="1:4" x14ac:dyDescent="0.25">
      <c r="A9" t="s">
        <v>90</v>
      </c>
      <c r="D9" s="20">
        <v>0</v>
      </c>
    </row>
    <row r="10" spans="1:4" x14ac:dyDescent="0.25">
      <c r="A10" t="s">
        <v>68</v>
      </c>
      <c r="D10" s="20">
        <v>0</v>
      </c>
    </row>
    <row r="11" spans="1:4" x14ac:dyDescent="0.25">
      <c r="A11" t="s">
        <v>60</v>
      </c>
      <c r="D11" s="20">
        <v>0</v>
      </c>
    </row>
    <row r="12" spans="1:4" x14ac:dyDescent="0.25">
      <c r="A12" t="s">
        <v>64</v>
      </c>
      <c r="D12" s="20">
        <v>0</v>
      </c>
    </row>
    <row r="13" spans="1:4" x14ac:dyDescent="0.25">
      <c r="A13" t="s">
        <v>62</v>
      </c>
      <c r="D13" s="20">
        <v>0</v>
      </c>
    </row>
    <row r="14" spans="1:4" x14ac:dyDescent="0.25">
      <c r="A14" t="s">
        <v>86</v>
      </c>
      <c r="D14" s="20">
        <v>0</v>
      </c>
    </row>
    <row r="15" spans="1:4" x14ac:dyDescent="0.25">
      <c r="A15" t="s">
        <v>77</v>
      </c>
      <c r="D15" s="20">
        <v>0</v>
      </c>
    </row>
    <row r="16" spans="1:4" x14ac:dyDescent="0.25">
      <c r="A16" t="s">
        <v>55</v>
      </c>
      <c r="D16" s="20">
        <v>0</v>
      </c>
    </row>
    <row r="17" spans="1:4" x14ac:dyDescent="0.25">
      <c r="A17" t="s">
        <v>88</v>
      </c>
      <c r="D17" s="22">
        <v>0</v>
      </c>
    </row>
    <row r="18" spans="1:4" x14ac:dyDescent="0.25">
      <c r="A18" t="s">
        <v>54</v>
      </c>
      <c r="D18" s="24">
        <v>150</v>
      </c>
    </row>
    <row r="19" spans="1:4" x14ac:dyDescent="0.25">
      <c r="A19" t="s">
        <v>89</v>
      </c>
      <c r="D19" s="23">
        <v>0</v>
      </c>
    </row>
    <row r="20" spans="1:4" x14ac:dyDescent="0.25">
      <c r="A20" t="s">
        <v>71</v>
      </c>
      <c r="D20" s="20">
        <v>0</v>
      </c>
    </row>
    <row r="21" spans="1:4" x14ac:dyDescent="0.25">
      <c r="A21" t="s">
        <v>91</v>
      </c>
      <c r="D21" s="20">
        <v>0</v>
      </c>
    </row>
    <row r="22" spans="1:4" x14ac:dyDescent="0.25">
      <c r="A22" t="s">
        <v>69</v>
      </c>
      <c r="D22" s="20">
        <v>0</v>
      </c>
    </row>
    <row r="23" spans="1:4" x14ac:dyDescent="0.25">
      <c r="A23" t="s">
        <v>76</v>
      </c>
      <c r="D23" s="20">
        <v>0</v>
      </c>
    </row>
    <row r="24" spans="1:4" x14ac:dyDescent="0.25">
      <c r="A24" t="s">
        <v>59</v>
      </c>
      <c r="D24" s="20">
        <v>0</v>
      </c>
    </row>
    <row r="25" spans="1:4" x14ac:dyDescent="0.25">
      <c r="A25" t="s">
        <v>70</v>
      </c>
      <c r="D25" s="20">
        <v>0</v>
      </c>
    </row>
    <row r="26" spans="1:4" x14ac:dyDescent="0.25">
      <c r="A26" t="s">
        <v>74</v>
      </c>
      <c r="D26" s="20">
        <v>0</v>
      </c>
    </row>
    <row r="27" spans="1:4" x14ac:dyDescent="0.25">
      <c r="A27" t="s">
        <v>78</v>
      </c>
      <c r="D27" s="20">
        <v>0</v>
      </c>
    </row>
    <row r="28" spans="1:4" x14ac:dyDescent="0.25">
      <c r="A28" t="s">
        <v>79</v>
      </c>
      <c r="D28" s="20">
        <v>0</v>
      </c>
    </row>
    <row r="29" spans="1:4" x14ac:dyDescent="0.25">
      <c r="A29" t="s">
        <v>82</v>
      </c>
      <c r="D29" s="20">
        <v>0</v>
      </c>
    </row>
    <row r="30" spans="1:4" x14ac:dyDescent="0.25">
      <c r="A30" t="s">
        <v>80</v>
      </c>
      <c r="D30" s="20">
        <v>0</v>
      </c>
    </row>
    <row r="31" spans="1:4" x14ac:dyDescent="0.25">
      <c r="A31" t="s">
        <v>65</v>
      </c>
      <c r="D31" s="20">
        <v>0</v>
      </c>
    </row>
    <row r="32" spans="1:4" x14ac:dyDescent="0.25">
      <c r="A32" t="s">
        <v>73</v>
      </c>
      <c r="D32" s="20">
        <v>0</v>
      </c>
    </row>
    <row r="33" spans="1:4" x14ac:dyDescent="0.25">
      <c r="A33" t="s">
        <v>87</v>
      </c>
      <c r="D33" s="20">
        <v>0</v>
      </c>
    </row>
    <row r="34" spans="1:4" x14ac:dyDescent="0.25">
      <c r="A34" t="s">
        <v>56</v>
      </c>
      <c r="D34" s="20">
        <v>0</v>
      </c>
    </row>
    <row r="35" spans="1:4" x14ac:dyDescent="0.25">
      <c r="A35" t="s">
        <v>67</v>
      </c>
      <c r="D35" s="20">
        <v>0</v>
      </c>
    </row>
    <row r="36" spans="1:4" x14ac:dyDescent="0.25">
      <c r="A36" t="s">
        <v>63</v>
      </c>
      <c r="D36" s="20">
        <v>0</v>
      </c>
    </row>
    <row r="38" spans="1:4" ht="15.75" thickBot="1" x14ac:dyDescent="0.3">
      <c r="A38" t="s">
        <v>43</v>
      </c>
      <c r="D38" s="25">
        <f>SUM(D3:D36)</f>
        <v>150</v>
      </c>
    </row>
    <row r="39" spans="1:4" ht="15.75" thickTop="1" x14ac:dyDescent="0.25"/>
  </sheetData>
  <sheetProtection algorithmName="SHA-512" hashValue="bXK8twUslDFACTjC25Fp/Vd15IvqSacmzWbsDAtVOvyfz0wFHvj1ftLbLEmjQcvq5pKSFHD/wkZL4MUArxQRCA==" saltValue="Y3hysTMRF/UIwngzsjti8Q==" spinCount="100000" sheet="1" scenarios="1" selectLockedCells="1"/>
  <sortState ref="A3:D36">
    <sortCondition ref="A3"/>
  </sortState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2A79-86D7-4767-BF18-5E831F427013}">
  <dimension ref="A1:C16"/>
  <sheetViews>
    <sheetView workbookViewId="0">
      <selection activeCell="C3" sqref="C3"/>
    </sheetView>
  </sheetViews>
  <sheetFormatPr defaultRowHeight="15" x14ac:dyDescent="0.25"/>
  <cols>
    <col min="1" max="1" width="30.42578125" bestFit="1" customWidth="1"/>
  </cols>
  <sheetData>
    <row r="1" spans="1:3" ht="26.25" x14ac:dyDescent="0.4">
      <c r="A1" s="6" t="s">
        <v>93</v>
      </c>
    </row>
    <row r="2" spans="1:3" x14ac:dyDescent="0.25">
      <c r="C2" t="s">
        <v>85</v>
      </c>
    </row>
    <row r="3" spans="1:3" x14ac:dyDescent="0.25">
      <c r="A3" t="s">
        <v>94</v>
      </c>
      <c r="C3" s="20">
        <v>0</v>
      </c>
    </row>
    <row r="4" spans="1:3" x14ac:dyDescent="0.25">
      <c r="A4" t="s">
        <v>95</v>
      </c>
      <c r="C4" s="20">
        <v>0</v>
      </c>
    </row>
    <row r="5" spans="1:3" x14ac:dyDescent="0.25">
      <c r="A5" t="s">
        <v>96</v>
      </c>
      <c r="C5" s="20">
        <v>0</v>
      </c>
    </row>
    <row r="6" spans="1:3" x14ac:dyDescent="0.25">
      <c r="A6" t="s">
        <v>97</v>
      </c>
      <c r="C6" s="20">
        <v>0</v>
      </c>
    </row>
    <row r="7" spans="1:3" x14ac:dyDescent="0.25">
      <c r="A7" t="s">
        <v>98</v>
      </c>
      <c r="C7" s="20">
        <v>0</v>
      </c>
    </row>
    <row r="8" spans="1:3" x14ac:dyDescent="0.25">
      <c r="A8" t="s">
        <v>99</v>
      </c>
      <c r="C8" s="20">
        <v>0</v>
      </c>
    </row>
    <row r="9" spans="1:3" x14ac:dyDescent="0.25">
      <c r="A9" t="s">
        <v>100</v>
      </c>
      <c r="C9" s="20">
        <v>0</v>
      </c>
    </row>
    <row r="10" spans="1:3" x14ac:dyDescent="0.25">
      <c r="A10" t="s">
        <v>101</v>
      </c>
      <c r="C10" s="20">
        <v>0</v>
      </c>
    </row>
    <row r="11" spans="1:3" x14ac:dyDescent="0.25">
      <c r="A11" t="s">
        <v>102</v>
      </c>
      <c r="C11" s="20">
        <v>0</v>
      </c>
    </row>
    <row r="12" spans="1:3" x14ac:dyDescent="0.25">
      <c r="A12" t="s">
        <v>104</v>
      </c>
      <c r="C12" s="20">
        <v>0</v>
      </c>
    </row>
    <row r="13" spans="1:3" x14ac:dyDescent="0.25">
      <c r="A13" t="s">
        <v>103</v>
      </c>
      <c r="C13" s="20">
        <v>0</v>
      </c>
    </row>
    <row r="15" spans="1:3" ht="15.75" thickBot="1" x14ac:dyDescent="0.3">
      <c r="A15" t="s">
        <v>43</v>
      </c>
      <c r="C15" s="26">
        <f>SUM(C3:C13)</f>
        <v>0</v>
      </c>
    </row>
    <row r="16" spans="1:3" ht="15.75" thickTop="1" x14ac:dyDescent="0.25"/>
  </sheetData>
  <sheetProtection algorithmName="SHA-512" hashValue="9RKehw8Aw4eoC91HLzGU+nXFw3DeCt+9fU/qDPgtpGlwWqlzekuGUO/Wp4FvS4oLackc/kvBR1lhfMouX6D6Cw==" saltValue="DPe7QyhyzGvLSt4vb5VaWw==" spinCount="100000" sheet="1" scenarios="1" selectLockedCells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F417-F9CF-4C49-AF62-BAD13A3BBA06}">
  <dimension ref="A1:T66"/>
  <sheetViews>
    <sheetView topLeftCell="A37" workbookViewId="0">
      <selection activeCell="C6" sqref="C6"/>
    </sheetView>
  </sheetViews>
  <sheetFormatPr defaultRowHeight="15" x14ac:dyDescent="0.25"/>
  <cols>
    <col min="1" max="1" width="29" bestFit="1" customWidth="1"/>
    <col min="2" max="2" width="24.5703125" bestFit="1" customWidth="1"/>
    <col min="3" max="3" width="10.7109375" bestFit="1" customWidth="1"/>
  </cols>
  <sheetData>
    <row r="1" spans="1:20" ht="21" x14ac:dyDescent="0.35">
      <c r="A1" s="1" t="s">
        <v>105</v>
      </c>
    </row>
    <row r="2" spans="1:20" x14ac:dyDescent="0.25">
      <c r="C2" t="s">
        <v>109</v>
      </c>
      <c r="D2" t="s">
        <v>43</v>
      </c>
    </row>
    <row r="3" spans="1:20" x14ac:dyDescent="0.25">
      <c r="A3" t="s">
        <v>106</v>
      </c>
      <c r="D3" s="28">
        <v>0</v>
      </c>
    </row>
    <row r="5" spans="1:20" ht="15.75" thickBot="1" x14ac:dyDescent="0.3">
      <c r="A5" t="s">
        <v>107</v>
      </c>
      <c r="T5" s="9">
        <v>0.1</v>
      </c>
    </row>
    <row r="6" spans="1:20" ht="15.75" thickBot="1" x14ac:dyDescent="0.3">
      <c r="A6" t="s">
        <v>108</v>
      </c>
      <c r="B6" s="17">
        <v>0.75</v>
      </c>
      <c r="C6" s="29"/>
      <c r="D6" s="30">
        <f>B6*C6</f>
        <v>0</v>
      </c>
      <c r="T6" s="10">
        <v>0.2</v>
      </c>
    </row>
    <row r="7" spans="1:20" x14ac:dyDescent="0.25">
      <c r="A7" s="7" t="s">
        <v>110</v>
      </c>
      <c r="D7" s="23">
        <v>0</v>
      </c>
      <c r="T7" s="10">
        <v>0.3</v>
      </c>
    </row>
    <row r="8" spans="1:20" x14ac:dyDescent="0.25">
      <c r="A8" t="s">
        <v>111</v>
      </c>
      <c r="D8" s="20">
        <v>0</v>
      </c>
      <c r="T8" s="10">
        <v>0.4</v>
      </c>
    </row>
    <row r="9" spans="1:20" x14ac:dyDescent="0.25">
      <c r="T9" s="10">
        <v>0.5</v>
      </c>
    </row>
    <row r="10" spans="1:20" x14ac:dyDescent="0.25">
      <c r="A10" t="s">
        <v>112</v>
      </c>
      <c r="T10" s="10">
        <v>0.6</v>
      </c>
    </row>
    <row r="11" spans="1:20" x14ac:dyDescent="0.25">
      <c r="A11" t="s">
        <v>113</v>
      </c>
      <c r="D11" s="20">
        <v>0</v>
      </c>
      <c r="T11" s="10">
        <v>0.7</v>
      </c>
    </row>
    <row r="12" spans="1:20" x14ac:dyDescent="0.25">
      <c r="A12" t="s">
        <v>114</v>
      </c>
      <c r="D12" s="20">
        <v>0</v>
      </c>
      <c r="T12" s="10">
        <v>0.75</v>
      </c>
    </row>
    <row r="13" spans="1:20" x14ac:dyDescent="0.25">
      <c r="A13" t="s">
        <v>115</v>
      </c>
      <c r="D13" s="20">
        <v>0</v>
      </c>
    </row>
    <row r="14" spans="1:20" x14ac:dyDescent="0.25">
      <c r="A14" t="s">
        <v>116</v>
      </c>
      <c r="D14" s="20">
        <v>0</v>
      </c>
    </row>
    <row r="15" spans="1:20" x14ac:dyDescent="0.25">
      <c r="A15" t="s">
        <v>117</v>
      </c>
      <c r="D15" s="20">
        <v>0</v>
      </c>
    </row>
    <row r="17" spans="1:4" ht="15.75" thickBot="1" x14ac:dyDescent="0.3">
      <c r="A17" t="s">
        <v>118</v>
      </c>
    </row>
    <row r="18" spans="1:4" ht="15.75" thickBot="1" x14ac:dyDescent="0.3">
      <c r="A18" t="s">
        <v>119</v>
      </c>
      <c r="B18" s="17">
        <v>0.1</v>
      </c>
      <c r="C18" s="29">
        <v>0</v>
      </c>
      <c r="D18" s="30">
        <f>B18*C18</f>
        <v>0</v>
      </c>
    </row>
    <row r="19" spans="1:4" x14ac:dyDescent="0.25">
      <c r="A19" t="s">
        <v>120</v>
      </c>
      <c r="D19" s="23">
        <v>0</v>
      </c>
    </row>
    <row r="20" spans="1:4" x14ac:dyDescent="0.25">
      <c r="A20" t="s">
        <v>121</v>
      </c>
      <c r="D20" s="20">
        <v>0</v>
      </c>
    </row>
    <row r="21" spans="1:4" x14ac:dyDescent="0.25">
      <c r="A21" t="s">
        <v>122</v>
      </c>
      <c r="D21" s="20">
        <v>0</v>
      </c>
    </row>
    <row r="22" spans="1:4" x14ac:dyDescent="0.25">
      <c r="A22" t="s">
        <v>123</v>
      </c>
      <c r="D22" s="20">
        <v>0</v>
      </c>
    </row>
    <row r="23" spans="1:4" x14ac:dyDescent="0.25">
      <c r="A23" t="s">
        <v>124</v>
      </c>
      <c r="D23" s="20">
        <v>0</v>
      </c>
    </row>
    <row r="24" spans="1:4" x14ac:dyDescent="0.25">
      <c r="A24" t="s">
        <v>125</v>
      </c>
      <c r="D24" s="20">
        <v>0</v>
      </c>
    </row>
    <row r="25" spans="1:4" x14ac:dyDescent="0.25">
      <c r="A25" t="s">
        <v>126</v>
      </c>
      <c r="D25" s="20">
        <v>0</v>
      </c>
    </row>
    <row r="26" spans="1:4" x14ac:dyDescent="0.25">
      <c r="A26" t="s">
        <v>127</v>
      </c>
      <c r="D26" s="20">
        <v>0</v>
      </c>
    </row>
    <row r="27" spans="1:4" x14ac:dyDescent="0.25">
      <c r="A27" t="s">
        <v>128</v>
      </c>
      <c r="D27" s="20">
        <v>0</v>
      </c>
    </row>
    <row r="28" spans="1:4" x14ac:dyDescent="0.25">
      <c r="A28" t="s">
        <v>129</v>
      </c>
      <c r="D28" s="20">
        <v>0</v>
      </c>
    </row>
    <row r="29" spans="1:4" x14ac:dyDescent="0.25">
      <c r="A29" t="s">
        <v>130</v>
      </c>
      <c r="D29" s="20">
        <v>0</v>
      </c>
    </row>
    <row r="31" spans="1:4" x14ac:dyDescent="0.25">
      <c r="A31" t="s">
        <v>131</v>
      </c>
    </row>
    <row r="32" spans="1:4" x14ac:dyDescent="0.25">
      <c r="A32" t="s">
        <v>132</v>
      </c>
      <c r="D32" s="20">
        <v>0</v>
      </c>
    </row>
    <row r="33" spans="1:4" x14ac:dyDescent="0.25">
      <c r="A33" t="s">
        <v>133</v>
      </c>
      <c r="D33" s="20">
        <v>0</v>
      </c>
    </row>
    <row r="34" spans="1:4" x14ac:dyDescent="0.25">
      <c r="A34" t="s">
        <v>134</v>
      </c>
      <c r="D34" s="20">
        <v>0</v>
      </c>
    </row>
    <row r="35" spans="1:4" x14ac:dyDescent="0.25">
      <c r="A35" t="s">
        <v>135</v>
      </c>
      <c r="D35" s="20">
        <v>0</v>
      </c>
    </row>
    <row r="36" spans="1:4" x14ac:dyDescent="0.25">
      <c r="A36" t="s">
        <v>136</v>
      </c>
      <c r="D36" s="20">
        <v>0</v>
      </c>
    </row>
    <row r="37" spans="1:4" x14ac:dyDescent="0.25">
      <c r="A37" t="s">
        <v>137</v>
      </c>
      <c r="D37" s="20">
        <v>0</v>
      </c>
    </row>
    <row r="38" spans="1:4" x14ac:dyDescent="0.25">
      <c r="A38" t="s">
        <v>138</v>
      </c>
      <c r="D38" s="20">
        <v>0</v>
      </c>
    </row>
    <row r="39" spans="1:4" x14ac:dyDescent="0.25">
      <c r="A39" t="s">
        <v>139</v>
      </c>
      <c r="D39" s="20">
        <v>0</v>
      </c>
    </row>
    <row r="40" spans="1:4" x14ac:dyDescent="0.25">
      <c r="A40" t="s">
        <v>140</v>
      </c>
      <c r="D40" s="20">
        <v>0</v>
      </c>
    </row>
    <row r="41" spans="1:4" x14ac:dyDescent="0.25">
      <c r="A41" t="s">
        <v>141</v>
      </c>
      <c r="D41" s="20">
        <v>0</v>
      </c>
    </row>
    <row r="42" spans="1:4" x14ac:dyDescent="0.25">
      <c r="A42" t="s">
        <v>142</v>
      </c>
      <c r="D42" s="20">
        <v>0</v>
      </c>
    </row>
    <row r="43" spans="1:4" x14ac:dyDescent="0.25">
      <c r="A43" t="s">
        <v>143</v>
      </c>
      <c r="D43" s="20">
        <v>0</v>
      </c>
    </row>
    <row r="44" spans="1:4" x14ac:dyDescent="0.25">
      <c r="A44" t="s">
        <v>144</v>
      </c>
      <c r="D44" s="20">
        <v>0</v>
      </c>
    </row>
    <row r="45" spans="1:4" x14ac:dyDescent="0.25">
      <c r="A45" t="s">
        <v>145</v>
      </c>
      <c r="D45" s="20">
        <v>0</v>
      </c>
    </row>
    <row r="46" spans="1:4" x14ac:dyDescent="0.25">
      <c r="A46" t="s">
        <v>146</v>
      </c>
      <c r="D46" s="20">
        <v>0</v>
      </c>
    </row>
    <row r="47" spans="1:4" x14ac:dyDescent="0.25">
      <c r="A47" t="s">
        <v>147</v>
      </c>
      <c r="D47" s="20">
        <v>0</v>
      </c>
    </row>
    <row r="48" spans="1:4" x14ac:dyDescent="0.25">
      <c r="A48" t="s">
        <v>148</v>
      </c>
      <c r="D48" s="20">
        <v>0</v>
      </c>
    </row>
    <row r="49" spans="1:4" x14ac:dyDescent="0.25">
      <c r="A49" t="s">
        <v>149</v>
      </c>
      <c r="D49" s="20">
        <v>0</v>
      </c>
    </row>
    <row r="50" spans="1:4" x14ac:dyDescent="0.25">
      <c r="A50" t="s">
        <v>150</v>
      </c>
      <c r="D50" s="20">
        <v>0</v>
      </c>
    </row>
    <row r="51" spans="1:4" x14ac:dyDescent="0.25">
      <c r="A51" t="s">
        <v>151</v>
      </c>
      <c r="D51" s="20">
        <v>0</v>
      </c>
    </row>
    <row r="52" spans="1:4" x14ac:dyDescent="0.25">
      <c r="A52" t="s">
        <v>152</v>
      </c>
      <c r="D52" s="20">
        <v>0</v>
      </c>
    </row>
    <row r="53" spans="1:4" x14ac:dyDescent="0.25">
      <c r="A53" t="s">
        <v>153</v>
      </c>
      <c r="D53" s="20">
        <v>0</v>
      </c>
    </row>
    <row r="54" spans="1:4" x14ac:dyDescent="0.25">
      <c r="A54" t="s">
        <v>154</v>
      </c>
      <c r="D54" s="20">
        <v>0</v>
      </c>
    </row>
    <row r="55" spans="1:4" x14ac:dyDescent="0.25">
      <c r="A55" t="s">
        <v>155</v>
      </c>
      <c r="D55" s="20">
        <v>0</v>
      </c>
    </row>
    <row r="56" spans="1:4" x14ac:dyDescent="0.25">
      <c r="D56" s="3"/>
    </row>
    <row r="57" spans="1:4" x14ac:dyDescent="0.25">
      <c r="A57" t="s">
        <v>156</v>
      </c>
      <c r="D57" s="3"/>
    </row>
    <row r="58" spans="1:4" ht="15.75" thickBot="1" x14ac:dyDescent="0.3">
      <c r="A58" t="s">
        <v>157</v>
      </c>
      <c r="D58" s="3"/>
    </row>
    <row r="59" spans="1:4" ht="15.75" thickBot="1" x14ac:dyDescent="0.3">
      <c r="A59" t="s">
        <v>158</v>
      </c>
      <c r="C59" s="29">
        <f>0</f>
        <v>0</v>
      </c>
      <c r="D59" s="30">
        <f>C59*0.75</f>
        <v>0</v>
      </c>
    </row>
    <row r="60" spans="1:4" x14ac:dyDescent="0.25">
      <c r="A60" t="s">
        <v>159</v>
      </c>
      <c r="D60" s="23">
        <f t="shared" ref="D60:D63" si="0">C60*0.75</f>
        <v>0</v>
      </c>
    </row>
    <row r="61" spans="1:4" x14ac:dyDescent="0.25">
      <c r="A61" t="s">
        <v>160</v>
      </c>
      <c r="D61" s="20">
        <f t="shared" si="0"/>
        <v>0</v>
      </c>
    </row>
    <row r="62" spans="1:4" x14ac:dyDescent="0.25">
      <c r="A62" t="s">
        <v>161</v>
      </c>
      <c r="D62" s="20">
        <f t="shared" si="0"/>
        <v>0</v>
      </c>
    </row>
    <row r="63" spans="1:4" x14ac:dyDescent="0.25">
      <c r="A63" t="s">
        <v>162</v>
      </c>
      <c r="D63" s="20">
        <f t="shared" si="0"/>
        <v>0</v>
      </c>
    </row>
    <row r="65" spans="1:4" ht="15.75" thickBot="1" x14ac:dyDescent="0.3">
      <c r="A65" t="s">
        <v>43</v>
      </c>
      <c r="D65" s="26">
        <f>SUM(D3:D63)</f>
        <v>0</v>
      </c>
    </row>
    <row r="66" spans="1:4" ht="15.75" thickTop="1" x14ac:dyDescent="0.25"/>
  </sheetData>
  <sheetProtection algorithmName="SHA-512" hashValue="1uYA3qI9XVZ5esUrNYxRi7sw2sln6+0cuwXUvRNYewyyCKWMko3P6Umy1xytbU6/0e2oE0En9q6tnVuaPCFBwQ==" saltValue="p36QSRHqr8nkPKmZepJaAA==" spinCount="100000" sheet="1" scenarios="1" selectLockedCells="1"/>
  <dataValidations xWindow="316" yWindow="355" count="2">
    <dataValidation type="list" allowBlank="1" showInputMessage="1" showErrorMessage="1" sqref="B6" xr:uid="{DF20ADA7-7653-43DE-88D0-5FD395D23D7F}">
      <formula1>$T$5:$T$12</formula1>
    </dataValidation>
    <dataValidation type="list" allowBlank="1" showInputMessage="1" showErrorMessage="1" sqref="B18" xr:uid="{ABFBD49B-4508-46BF-84B3-FAA4FDA2ED0A}">
      <formula1>$T$5:$T$7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C931-2738-4434-A73F-07CBA8288681}">
  <dimension ref="A1:B15"/>
  <sheetViews>
    <sheetView workbookViewId="0">
      <selection activeCell="B6" sqref="B6"/>
    </sheetView>
  </sheetViews>
  <sheetFormatPr defaultRowHeight="15" x14ac:dyDescent="0.25"/>
  <cols>
    <col min="1" max="1" width="27.85546875" customWidth="1"/>
    <col min="2" max="2" width="19" customWidth="1"/>
  </cols>
  <sheetData>
    <row r="1" spans="1:2" ht="21" x14ac:dyDescent="0.35">
      <c r="A1" s="1" t="s">
        <v>186</v>
      </c>
    </row>
    <row r="3" spans="1:2" x14ac:dyDescent="0.25">
      <c r="A3" t="s">
        <v>185</v>
      </c>
      <c r="B3" t="s">
        <v>85</v>
      </c>
    </row>
    <row r="4" spans="1:2" x14ac:dyDescent="0.25">
      <c r="A4" t="s">
        <v>189</v>
      </c>
      <c r="B4" s="20">
        <v>0</v>
      </c>
    </row>
    <row r="5" spans="1:2" x14ac:dyDescent="0.25">
      <c r="A5" s="17"/>
      <c r="B5" s="20">
        <v>0</v>
      </c>
    </row>
    <row r="6" spans="1:2" x14ac:dyDescent="0.25">
      <c r="A6" s="17"/>
      <c r="B6" s="20">
        <v>0</v>
      </c>
    </row>
    <row r="7" spans="1:2" x14ac:dyDescent="0.25">
      <c r="A7" s="17"/>
      <c r="B7" s="20">
        <v>0</v>
      </c>
    </row>
    <row r="8" spans="1:2" x14ac:dyDescent="0.25">
      <c r="A8" s="17"/>
      <c r="B8" s="20">
        <v>0</v>
      </c>
    </row>
    <row r="9" spans="1:2" x14ac:dyDescent="0.25">
      <c r="A9" s="17"/>
      <c r="B9" s="20">
        <v>0</v>
      </c>
    </row>
    <row r="10" spans="1:2" x14ac:dyDescent="0.25">
      <c r="A10" s="17"/>
      <c r="B10" s="20">
        <v>0</v>
      </c>
    </row>
    <row r="11" spans="1:2" x14ac:dyDescent="0.25">
      <c r="A11" s="17"/>
      <c r="B11" s="22">
        <v>0</v>
      </c>
    </row>
    <row r="12" spans="1:2" x14ac:dyDescent="0.25">
      <c r="A12" t="s">
        <v>187</v>
      </c>
      <c r="B12" s="20">
        <v>0</v>
      </c>
    </row>
    <row r="14" spans="1:2" ht="15.75" thickBot="1" x14ac:dyDescent="0.3">
      <c r="A14" t="s">
        <v>43</v>
      </c>
      <c r="B14" s="26">
        <f>SUM(B4:B12)</f>
        <v>0</v>
      </c>
    </row>
    <row r="15" spans="1:2" ht="15.75" thickTop="1" x14ac:dyDescent="0.25"/>
  </sheetData>
  <sheetProtection algorithmName="SHA-512" hashValue="JMl78+f3GYv1PIaWRxVswp23zBA6bteYwNG+j08A8eTOIboUgQ5ItO4EzI1PWeEEUz84rF2kxvMbLwBEjkd+OA==" saltValue="+orgegLt/USE3023G4w75Q==" spinCount="100000" sheet="1" objects="1" scenarios="1" selectLockedCells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746C-E2FB-4338-876E-B85C0BD8FEFC}">
  <dimension ref="A1:S15"/>
  <sheetViews>
    <sheetView workbookViewId="0">
      <selection activeCell="B4" sqref="B4"/>
    </sheetView>
  </sheetViews>
  <sheetFormatPr defaultRowHeight="15" x14ac:dyDescent="0.25"/>
  <cols>
    <col min="2" max="2" width="36.140625" bestFit="1" customWidth="1"/>
    <col min="3" max="3" width="28.5703125" bestFit="1" customWidth="1"/>
    <col min="4" max="4" width="14" bestFit="1" customWidth="1"/>
    <col min="5" max="5" width="12.42578125" bestFit="1" customWidth="1"/>
    <col min="6" max="6" width="20" bestFit="1" customWidth="1"/>
  </cols>
  <sheetData>
    <row r="1" spans="1:19" ht="23.25" x14ac:dyDescent="0.35">
      <c r="B1" s="5" t="s">
        <v>75</v>
      </c>
    </row>
    <row r="3" spans="1:19" ht="15.75" thickBot="1" x14ac:dyDescent="0.3">
      <c r="A3" t="s">
        <v>173</v>
      </c>
      <c r="B3" t="s">
        <v>175</v>
      </c>
      <c r="C3" t="s">
        <v>172</v>
      </c>
      <c r="D3" t="s">
        <v>169</v>
      </c>
      <c r="E3" t="s">
        <v>170</v>
      </c>
      <c r="F3" t="s">
        <v>171</v>
      </c>
    </row>
    <row r="4" spans="1:19" ht="15.75" thickBot="1" x14ac:dyDescent="0.3">
      <c r="A4">
        <v>1</v>
      </c>
      <c r="B4" s="17"/>
      <c r="C4" s="17">
        <v>1</v>
      </c>
      <c r="D4" s="20">
        <v>0</v>
      </c>
      <c r="E4" s="17">
        <v>0.25</v>
      </c>
      <c r="F4" s="31">
        <f>(C4*D4*E4*0.33)/12</f>
        <v>0</v>
      </c>
      <c r="R4" s="13">
        <v>1</v>
      </c>
      <c r="S4" s="10">
        <v>0.25</v>
      </c>
    </row>
    <row r="5" spans="1:19" x14ac:dyDescent="0.25">
      <c r="A5">
        <v>2</v>
      </c>
      <c r="B5" s="17"/>
      <c r="C5" s="17"/>
      <c r="D5" s="17"/>
      <c r="E5" s="18"/>
      <c r="R5" s="13">
        <v>2</v>
      </c>
      <c r="S5" s="10">
        <v>0.5</v>
      </c>
    </row>
    <row r="6" spans="1:19" x14ac:dyDescent="0.25">
      <c r="A6">
        <v>3</v>
      </c>
      <c r="B6" s="17"/>
      <c r="C6" s="17"/>
      <c r="D6" s="17"/>
      <c r="E6" s="17"/>
      <c r="R6" s="13">
        <v>3</v>
      </c>
      <c r="S6" s="10">
        <v>0.75</v>
      </c>
    </row>
    <row r="7" spans="1:19" x14ac:dyDescent="0.25">
      <c r="A7">
        <v>4</v>
      </c>
      <c r="B7" s="17"/>
      <c r="C7" s="17"/>
      <c r="D7" s="17"/>
      <c r="E7" s="17"/>
      <c r="R7" s="13">
        <v>4</v>
      </c>
      <c r="S7" s="10">
        <v>1</v>
      </c>
    </row>
    <row r="8" spans="1:19" x14ac:dyDescent="0.25">
      <c r="A8">
        <v>5</v>
      </c>
      <c r="B8" s="17"/>
      <c r="C8" s="17"/>
      <c r="D8" s="17"/>
      <c r="E8" s="17"/>
      <c r="R8" s="13">
        <v>5</v>
      </c>
      <c r="S8" s="13"/>
    </row>
    <row r="9" spans="1:19" x14ac:dyDescent="0.25">
      <c r="B9" s="17"/>
      <c r="C9" s="17"/>
      <c r="D9" s="17"/>
      <c r="E9" s="17"/>
      <c r="R9" s="13">
        <v>6</v>
      </c>
      <c r="S9" s="13"/>
    </row>
    <row r="10" spans="1:19" ht="15.75" thickBot="1" x14ac:dyDescent="0.3">
      <c r="A10" t="s">
        <v>43</v>
      </c>
      <c r="F10" s="27">
        <f>SUM(F4:F9)</f>
        <v>0</v>
      </c>
      <c r="R10" s="13">
        <v>7</v>
      </c>
      <c r="S10" s="13"/>
    </row>
    <row r="11" spans="1:19" ht="15.75" thickTop="1" x14ac:dyDescent="0.25">
      <c r="R11" s="13">
        <v>8</v>
      </c>
      <c r="S11" s="13"/>
    </row>
    <row r="12" spans="1:19" x14ac:dyDescent="0.25">
      <c r="R12" s="13">
        <v>9</v>
      </c>
      <c r="S12" s="13"/>
    </row>
    <row r="13" spans="1:19" x14ac:dyDescent="0.25">
      <c r="R13" s="13">
        <v>10</v>
      </c>
      <c r="S13" s="13"/>
    </row>
    <row r="14" spans="1:19" x14ac:dyDescent="0.25">
      <c r="R14" s="13">
        <v>11</v>
      </c>
      <c r="S14" s="13"/>
    </row>
    <row r="15" spans="1:19" x14ac:dyDescent="0.25">
      <c r="R15" s="13">
        <v>12</v>
      </c>
      <c r="S15" s="13"/>
    </row>
  </sheetData>
  <sheetProtection algorithmName="SHA-512" hashValue="sDXIOWiF/SwQhprV4uhsPGk8GGv9pqikSBjfShh7BkHrb1Rbicpfvw7UK7CVHtL1dyXh5GIIQ5Wb7Z83LIUF/w==" saltValue="H4nPIeH6Jnw8b89UO83tpA==" spinCount="100000" sheet="1" scenarios="1" selectLockedCells="1"/>
  <dataValidations count="2">
    <dataValidation type="list" allowBlank="1" showInputMessage="1" showErrorMessage="1" sqref="C4" xr:uid="{F43DD70A-53DE-48C0-95B7-B717AE339015}">
      <formula1>$R$4:$R$15</formula1>
    </dataValidation>
    <dataValidation type="list" allowBlank="1" showInputMessage="1" showErrorMessage="1" prompt="Input business use" sqref="E4" xr:uid="{C1E7FEBE-E640-41BE-88DD-F85AEE333953}">
      <formula1>$S$4:$S$7</formula1>
    </dataValidation>
  </dataValidation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A044-538D-458B-A48E-39ED8C4373DB}">
  <dimension ref="B2:C9"/>
  <sheetViews>
    <sheetView workbookViewId="0">
      <selection activeCell="C8" sqref="C8"/>
    </sheetView>
  </sheetViews>
  <sheetFormatPr defaultRowHeight="15" x14ac:dyDescent="0.25"/>
  <cols>
    <col min="2" max="2" width="24.42578125" bestFit="1" customWidth="1"/>
    <col min="3" max="3" width="32.7109375" customWidth="1"/>
  </cols>
  <sheetData>
    <row r="2" spans="2:3" x14ac:dyDescent="0.25">
      <c r="B2" t="s">
        <v>165</v>
      </c>
      <c r="C2" s="8">
        <f>'D1 Car Expenses'!C51</f>
        <v>0</v>
      </c>
    </row>
    <row r="3" spans="2:3" x14ac:dyDescent="0.25">
      <c r="B3" t="s">
        <v>166</v>
      </c>
      <c r="C3" s="8">
        <f>'D2 Travel'!C15</f>
        <v>0</v>
      </c>
    </row>
    <row r="4" spans="2:3" x14ac:dyDescent="0.25">
      <c r="B4" t="s">
        <v>167</v>
      </c>
      <c r="C4">
        <f>'D3. Uniform'!D38</f>
        <v>150</v>
      </c>
    </row>
    <row r="5" spans="2:3" x14ac:dyDescent="0.25">
      <c r="B5" t="s">
        <v>92</v>
      </c>
      <c r="C5" s="8">
        <f>'D4. Education'!C15</f>
        <v>0</v>
      </c>
    </row>
    <row r="6" spans="2:3" x14ac:dyDescent="0.25">
      <c r="B6" s="14" t="s">
        <v>105</v>
      </c>
      <c r="C6" s="15">
        <f>'D5. Other Expenses'!D65</f>
        <v>0</v>
      </c>
    </row>
    <row r="7" spans="2:3" x14ac:dyDescent="0.25">
      <c r="B7" s="37" t="s">
        <v>188</v>
      </c>
      <c r="C7" s="15">
        <f>'OTHERS '!B14</f>
        <v>0</v>
      </c>
    </row>
    <row r="8" spans="2:3" ht="15.75" thickBot="1" x14ac:dyDescent="0.3">
      <c r="B8" s="16" t="s">
        <v>174</v>
      </c>
      <c r="C8" s="11">
        <f>'Depreciation '!F10</f>
        <v>0</v>
      </c>
    </row>
    <row r="9" spans="2:3" ht="24" thickTop="1" x14ac:dyDescent="0.35">
      <c r="B9" s="5" t="s">
        <v>168</v>
      </c>
      <c r="C9" s="12">
        <f>SUM(C2:C6)</f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D1 Car Expenses</vt:lpstr>
      <vt:lpstr>D2 Travel</vt:lpstr>
      <vt:lpstr>D3. Uniform</vt:lpstr>
      <vt:lpstr>D4. Education</vt:lpstr>
      <vt:lpstr>D5. Other Expenses</vt:lpstr>
      <vt:lpstr>OTHERS </vt:lpstr>
      <vt:lpstr>Depreciation 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 5</dc:creator>
  <cp:lastModifiedBy>Gary's PC</cp:lastModifiedBy>
  <dcterms:created xsi:type="dcterms:W3CDTF">2018-08-24T02:31:53Z</dcterms:created>
  <dcterms:modified xsi:type="dcterms:W3CDTF">2018-09-12T06:12:05Z</dcterms:modified>
</cp:coreProperties>
</file>